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28810"/>
  <workbookPr/>
  <mc:AlternateContent xmlns:mc="http://schemas.openxmlformats.org/markup-compatibility/2006">
    <mc:Choice Requires="x15">
      <x15ac:absPath xmlns:x15ac="http://schemas.microsoft.com/office/spreadsheetml/2010/11/ac" url="/Users/jhash/Dropbox/CBP_study/dyn_ts/"/>
    </mc:Choice>
  </mc:AlternateContent>
  <bookViews>
    <workbookView xWindow="580" yWindow="500" windowWidth="26020" windowHeight="16560" activeTab="2"/>
  </bookViews>
  <sheets>
    <sheet name="Training_Protocol_AS" sheetId="1" r:id="rId1"/>
    <sheet name="Timing_File" sheetId="4" r:id="rId2"/>
    <sheet name="Sheet1" sheetId="5" r:id="rId3"/>
    <sheet name="PULSE_DESIGN" sheetId="3" r:id="rId4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7" i="5" l="1"/>
  <c r="G19" i="1"/>
  <c r="G12" i="1"/>
  <c r="H13" i="1"/>
  <c r="AE120" i="1"/>
  <c r="W120" i="1"/>
  <c r="G92" i="1"/>
  <c r="O92" i="1"/>
  <c r="O89" i="1"/>
  <c r="O82" i="1"/>
  <c r="O75" i="1"/>
  <c r="O68" i="1"/>
  <c r="O61" i="1"/>
  <c r="O54" i="1"/>
  <c r="O47" i="1"/>
  <c r="O40" i="1"/>
  <c r="O33" i="1"/>
  <c r="O26" i="1"/>
  <c r="O19" i="1"/>
  <c r="O12" i="1"/>
  <c r="AE110" i="1"/>
  <c r="AE117" i="1"/>
  <c r="AE103" i="1"/>
  <c r="AE96" i="1"/>
  <c r="AE82" i="1"/>
  <c r="AE89" i="1"/>
  <c r="AE75" i="1"/>
  <c r="AE68" i="1"/>
  <c r="AE61" i="1"/>
  <c r="AE54" i="1"/>
  <c r="AE47" i="1"/>
  <c r="AE40" i="1"/>
  <c r="AE33" i="1"/>
  <c r="AE26" i="1"/>
  <c r="AE19" i="1"/>
  <c r="AE12" i="1"/>
  <c r="W117" i="1"/>
  <c r="W110" i="1"/>
  <c r="W103" i="1"/>
  <c r="W96" i="1"/>
  <c r="W89" i="1"/>
  <c r="W82" i="1"/>
  <c r="W76" i="1"/>
  <c r="W68" i="1"/>
  <c r="W61" i="1"/>
  <c r="W54" i="1"/>
  <c r="W47" i="1"/>
  <c r="W40" i="1"/>
  <c r="W33" i="1"/>
  <c r="W26" i="1"/>
  <c r="W19" i="1"/>
  <c r="W12" i="1"/>
  <c r="G89" i="1"/>
  <c r="G82" i="1"/>
  <c r="G75" i="1"/>
  <c r="G68" i="1"/>
  <c r="G61" i="1"/>
  <c r="G54" i="1"/>
  <c r="G47" i="1"/>
  <c r="G40" i="1"/>
  <c r="G33" i="1"/>
  <c r="G26" i="1"/>
  <c r="D20" i="3"/>
  <c r="L10" i="3"/>
  <c r="D10" i="3"/>
  <c r="E6" i="1"/>
  <c r="M6" i="1"/>
  <c r="U6" i="1"/>
  <c r="M15" i="1"/>
  <c r="M11" i="1"/>
  <c r="E36" i="1"/>
  <c r="N6" i="3"/>
  <c r="AC6" i="1"/>
  <c r="AC118" i="1"/>
  <c r="AC117" i="1"/>
  <c r="AC116" i="1"/>
  <c r="AC115" i="1"/>
  <c r="AC114" i="1"/>
  <c r="AC113" i="1"/>
  <c r="AC111" i="1"/>
  <c r="AC110" i="1"/>
  <c r="AC109" i="1"/>
  <c r="AC108" i="1"/>
  <c r="AC107" i="1"/>
  <c r="AC106" i="1"/>
  <c r="AC104" i="1"/>
  <c r="AC103" i="1"/>
  <c r="AC102" i="1"/>
  <c r="AC101" i="1"/>
  <c r="AC100" i="1"/>
  <c r="AC99" i="1"/>
  <c r="U118" i="1"/>
  <c r="U117" i="1"/>
  <c r="U116" i="1"/>
  <c r="U115" i="1"/>
  <c r="U114" i="1"/>
  <c r="U113" i="1"/>
  <c r="U111" i="1"/>
  <c r="U110" i="1"/>
  <c r="U109" i="1"/>
  <c r="U108" i="1"/>
  <c r="U107" i="1"/>
  <c r="U106" i="1"/>
  <c r="U104" i="1"/>
  <c r="U103" i="1"/>
  <c r="U102" i="1"/>
  <c r="U101" i="1"/>
  <c r="U100" i="1"/>
  <c r="U99" i="1"/>
  <c r="U97" i="1"/>
  <c r="CI10" i="1"/>
  <c r="AC10" i="1"/>
  <c r="AC17" i="1"/>
  <c r="CI17" i="1"/>
  <c r="CI24" i="1"/>
  <c r="AC24" i="1"/>
  <c r="AC31" i="1"/>
  <c r="CI31" i="1"/>
  <c r="CI38" i="1"/>
  <c r="AC38" i="1"/>
  <c r="AC45" i="1"/>
  <c r="CI45" i="1"/>
  <c r="CI52" i="1"/>
  <c r="AC52" i="1"/>
  <c r="AC59" i="1"/>
  <c r="CI59" i="1"/>
  <c r="CI66" i="1"/>
  <c r="AC66" i="1"/>
  <c r="AC73" i="1"/>
  <c r="CI73" i="1"/>
  <c r="CI80" i="1"/>
  <c r="AC80" i="1"/>
  <c r="CI87" i="1"/>
  <c r="CI94" i="1"/>
  <c r="AC87" i="1"/>
  <c r="AC94" i="1"/>
  <c r="U94" i="1"/>
  <c r="U87" i="1"/>
  <c r="U80" i="1"/>
  <c r="U73" i="1"/>
  <c r="U66" i="1"/>
  <c r="U59" i="1"/>
  <c r="U52" i="1"/>
  <c r="U45" i="1"/>
  <c r="U38" i="1"/>
  <c r="U31" i="1"/>
  <c r="U24" i="1"/>
  <c r="U17" i="1"/>
  <c r="U10" i="1"/>
  <c r="M87" i="1"/>
  <c r="M80" i="1"/>
  <c r="M73" i="1"/>
  <c r="M66" i="1"/>
  <c r="M59" i="1"/>
  <c r="M52" i="1"/>
  <c r="M45" i="1"/>
  <c r="M38" i="1"/>
  <c r="M31" i="1"/>
  <c r="M24" i="1"/>
  <c r="M17" i="1"/>
  <c r="M10" i="1"/>
  <c r="E89" i="1"/>
  <c r="E90" i="1"/>
  <c r="E87" i="1"/>
  <c r="E80" i="1"/>
  <c r="E73" i="1"/>
  <c r="E66" i="1"/>
  <c r="E59" i="1"/>
  <c r="E52" i="1"/>
  <c r="E45" i="1"/>
  <c r="E38" i="1"/>
  <c r="E24" i="1"/>
  <c r="L20" i="3"/>
  <c r="CI36" i="1"/>
  <c r="AC36" i="1"/>
  <c r="U36" i="1"/>
  <c r="M36" i="1"/>
  <c r="CI12" i="1"/>
  <c r="AC12" i="1"/>
  <c r="U12" i="1"/>
  <c r="M12" i="1"/>
  <c r="E12" i="1"/>
  <c r="E10" i="1"/>
  <c r="CI97" i="1"/>
  <c r="AC97" i="1"/>
  <c r="CI96" i="1"/>
  <c r="AC96" i="1"/>
  <c r="U96" i="1"/>
  <c r="CI95" i="1"/>
  <c r="AC95" i="1"/>
  <c r="U95" i="1"/>
  <c r="CI93" i="1"/>
  <c r="AC93" i="1"/>
  <c r="U93" i="1"/>
  <c r="CI92" i="1"/>
  <c r="AC92" i="1"/>
  <c r="U92" i="1"/>
  <c r="CI91" i="1"/>
  <c r="CI90" i="1"/>
  <c r="AC90" i="1"/>
  <c r="U90" i="1"/>
  <c r="CI89" i="1"/>
  <c r="AC89" i="1"/>
  <c r="U89" i="1"/>
  <c r="CI88" i="1"/>
  <c r="AC88" i="1"/>
  <c r="U88" i="1"/>
  <c r="CI86" i="1"/>
  <c r="AC86" i="1"/>
  <c r="U86" i="1"/>
  <c r="CI85" i="1"/>
  <c r="AC85" i="1"/>
  <c r="U85" i="1"/>
  <c r="CI84" i="1"/>
  <c r="CI83" i="1"/>
  <c r="AC83" i="1"/>
  <c r="U83" i="1"/>
  <c r="CI82" i="1"/>
  <c r="AC82" i="1"/>
  <c r="U82" i="1"/>
  <c r="CI81" i="1"/>
  <c r="AC81" i="1"/>
  <c r="U81" i="1"/>
  <c r="CI79" i="1"/>
  <c r="AC79" i="1"/>
  <c r="U79" i="1"/>
  <c r="CI78" i="1"/>
  <c r="AC78" i="1"/>
  <c r="U78" i="1"/>
  <c r="CI77" i="1"/>
  <c r="CI76" i="1"/>
  <c r="AC76" i="1"/>
  <c r="U76" i="1"/>
  <c r="CI75" i="1"/>
  <c r="AC75" i="1"/>
  <c r="U75" i="1"/>
  <c r="CI74" i="1"/>
  <c r="AC74" i="1"/>
  <c r="U74" i="1"/>
  <c r="CI72" i="1"/>
  <c r="AC72" i="1"/>
  <c r="U72" i="1"/>
  <c r="CI71" i="1"/>
  <c r="AC71" i="1"/>
  <c r="U71" i="1"/>
  <c r="CI70" i="1"/>
  <c r="CI69" i="1"/>
  <c r="AC69" i="1"/>
  <c r="U69" i="1"/>
  <c r="CI68" i="1"/>
  <c r="AC68" i="1"/>
  <c r="U68" i="1"/>
  <c r="CI67" i="1"/>
  <c r="AC67" i="1"/>
  <c r="U67" i="1"/>
  <c r="CI65" i="1"/>
  <c r="AC65" i="1"/>
  <c r="U65" i="1"/>
  <c r="CI64" i="1"/>
  <c r="AC64" i="1"/>
  <c r="U64" i="1"/>
  <c r="CI63" i="1"/>
  <c r="CI62" i="1"/>
  <c r="AC62" i="1"/>
  <c r="U62" i="1"/>
  <c r="CI61" i="1"/>
  <c r="AC61" i="1"/>
  <c r="U61" i="1"/>
  <c r="CI60" i="1"/>
  <c r="AC60" i="1"/>
  <c r="U60" i="1"/>
  <c r="CI58" i="1"/>
  <c r="AC58" i="1"/>
  <c r="U58" i="1"/>
  <c r="CI57" i="1"/>
  <c r="AC57" i="1"/>
  <c r="U57" i="1"/>
  <c r="CI56" i="1"/>
  <c r="CI55" i="1"/>
  <c r="AC55" i="1"/>
  <c r="U55" i="1"/>
  <c r="CI54" i="1"/>
  <c r="AC54" i="1"/>
  <c r="U54" i="1"/>
  <c r="CI53" i="1"/>
  <c r="AC53" i="1"/>
  <c r="U53" i="1"/>
  <c r="CI51" i="1"/>
  <c r="AC51" i="1"/>
  <c r="U51" i="1"/>
  <c r="CI50" i="1"/>
  <c r="AC50" i="1"/>
  <c r="U50" i="1"/>
  <c r="CI49" i="1"/>
  <c r="CI48" i="1"/>
  <c r="AC48" i="1"/>
  <c r="U48" i="1"/>
  <c r="CI47" i="1"/>
  <c r="AC47" i="1"/>
  <c r="U47" i="1"/>
  <c r="CI46" i="1"/>
  <c r="AC46" i="1"/>
  <c r="U46" i="1"/>
  <c r="CI44" i="1"/>
  <c r="AC44" i="1"/>
  <c r="U44" i="1"/>
  <c r="CI43" i="1"/>
  <c r="AC43" i="1"/>
  <c r="U43" i="1"/>
  <c r="CI42" i="1"/>
  <c r="CI41" i="1"/>
  <c r="AC41" i="1"/>
  <c r="U41" i="1"/>
  <c r="CI40" i="1"/>
  <c r="AC40" i="1"/>
  <c r="U40" i="1"/>
  <c r="CI39" i="1"/>
  <c r="AC39" i="1"/>
  <c r="U39" i="1"/>
  <c r="CI37" i="1"/>
  <c r="AC37" i="1"/>
  <c r="U37" i="1"/>
  <c r="CI35" i="1"/>
  <c r="CI34" i="1"/>
  <c r="AC34" i="1"/>
  <c r="U34" i="1"/>
  <c r="CI33" i="1"/>
  <c r="AC33" i="1"/>
  <c r="U33" i="1"/>
  <c r="CI32" i="1"/>
  <c r="AC32" i="1"/>
  <c r="U32" i="1"/>
  <c r="CI30" i="1"/>
  <c r="AC30" i="1"/>
  <c r="U30" i="1"/>
  <c r="CI29" i="1"/>
  <c r="AC29" i="1"/>
  <c r="U29" i="1"/>
  <c r="CI28" i="1"/>
  <c r="CI27" i="1"/>
  <c r="AC27" i="1"/>
  <c r="U27" i="1"/>
  <c r="CI26" i="1"/>
  <c r="AC26" i="1"/>
  <c r="U26" i="1"/>
  <c r="CI25" i="1"/>
  <c r="AC25" i="1"/>
  <c r="U25" i="1"/>
  <c r="CI23" i="1"/>
  <c r="AC23" i="1"/>
  <c r="U23" i="1"/>
  <c r="CI22" i="1"/>
  <c r="AC22" i="1"/>
  <c r="U22" i="1"/>
  <c r="CI21" i="1"/>
  <c r="CI20" i="1"/>
  <c r="AC20" i="1"/>
  <c r="U20" i="1"/>
  <c r="CI19" i="1"/>
  <c r="AC19" i="1"/>
  <c r="U19" i="1"/>
  <c r="CI18" i="1"/>
  <c r="AC18" i="1"/>
  <c r="U18" i="1"/>
  <c r="CI16" i="1"/>
  <c r="AC16" i="1"/>
  <c r="U16" i="1"/>
  <c r="CI15" i="1"/>
  <c r="AC15" i="1"/>
  <c r="U15" i="1"/>
  <c r="CI14" i="1"/>
  <c r="CI13" i="1"/>
  <c r="AC13" i="1"/>
  <c r="U13" i="1"/>
  <c r="CI11" i="1"/>
  <c r="AC11" i="1"/>
  <c r="U11" i="1"/>
  <c r="CI9" i="1"/>
  <c r="AC9" i="1"/>
  <c r="U9" i="1"/>
  <c r="CI8" i="1"/>
  <c r="AC8" i="1"/>
  <c r="U8" i="1"/>
  <c r="CI6" i="1"/>
  <c r="CI4" i="1"/>
  <c r="M90" i="1"/>
  <c r="M89" i="1"/>
  <c r="M88" i="1"/>
  <c r="M86" i="1"/>
  <c r="M85" i="1"/>
  <c r="M83" i="1"/>
  <c r="M82" i="1"/>
  <c r="M81" i="1"/>
  <c r="M79" i="1"/>
  <c r="M78" i="1"/>
  <c r="M76" i="1"/>
  <c r="M75" i="1"/>
  <c r="M74" i="1"/>
  <c r="M72" i="1"/>
  <c r="M71" i="1"/>
  <c r="M69" i="1"/>
  <c r="M68" i="1"/>
  <c r="M67" i="1"/>
  <c r="M65" i="1"/>
  <c r="M64" i="1"/>
  <c r="M62" i="1"/>
  <c r="M61" i="1"/>
  <c r="M60" i="1"/>
  <c r="M58" i="1"/>
  <c r="M57" i="1"/>
  <c r="M55" i="1"/>
  <c r="M54" i="1"/>
  <c r="M53" i="1"/>
  <c r="M51" i="1"/>
  <c r="M50" i="1"/>
  <c r="M48" i="1"/>
  <c r="M47" i="1"/>
  <c r="M46" i="1"/>
  <c r="M44" i="1"/>
  <c r="M43" i="1"/>
  <c r="M41" i="1"/>
  <c r="M40" i="1"/>
  <c r="M39" i="1"/>
  <c r="M37" i="1"/>
  <c r="M34" i="1"/>
  <c r="M33" i="1"/>
  <c r="M32" i="1"/>
  <c r="M30" i="1"/>
  <c r="M29" i="1"/>
  <c r="M27" i="1"/>
  <c r="M26" i="1"/>
  <c r="M25" i="1"/>
  <c r="M23" i="1"/>
  <c r="M22" i="1"/>
  <c r="M20" i="1"/>
  <c r="M19" i="1"/>
  <c r="M18" i="1"/>
  <c r="M16" i="1"/>
  <c r="M13" i="1"/>
  <c r="M9" i="1"/>
  <c r="M8" i="1"/>
  <c r="E8" i="1"/>
  <c r="E9" i="1"/>
  <c r="E11" i="1"/>
  <c r="E13" i="1"/>
  <c r="E15" i="1"/>
  <c r="E16" i="1"/>
  <c r="E18" i="1"/>
  <c r="E19" i="1"/>
  <c r="E20" i="1"/>
  <c r="E22" i="1"/>
  <c r="E23" i="1"/>
  <c r="E25" i="1"/>
  <c r="E26" i="1"/>
  <c r="E27" i="1"/>
  <c r="E29" i="1"/>
  <c r="E30" i="1"/>
  <c r="E32" i="1"/>
  <c r="E33" i="1"/>
  <c r="E34" i="1"/>
  <c r="E37" i="1"/>
  <c r="E39" i="1"/>
  <c r="E40" i="1"/>
  <c r="E41" i="1"/>
  <c r="E43" i="1"/>
  <c r="E44" i="1"/>
  <c r="E46" i="1"/>
  <c r="E47" i="1"/>
  <c r="E48" i="1"/>
  <c r="E50" i="1"/>
  <c r="E51" i="1"/>
  <c r="E53" i="1"/>
  <c r="E54" i="1"/>
  <c r="E55" i="1"/>
  <c r="E57" i="1"/>
  <c r="E58" i="1"/>
  <c r="E60" i="1"/>
  <c r="E61" i="1"/>
  <c r="E62" i="1"/>
  <c r="E64" i="1"/>
  <c r="E65" i="1"/>
  <c r="E67" i="1"/>
  <c r="E68" i="1"/>
  <c r="E69" i="1"/>
  <c r="E71" i="1"/>
  <c r="E72" i="1"/>
  <c r="E74" i="1"/>
  <c r="E75" i="1"/>
  <c r="E76" i="1"/>
  <c r="E78" i="1"/>
  <c r="E79" i="1"/>
  <c r="E81" i="1"/>
  <c r="E82" i="1"/>
  <c r="E83" i="1"/>
  <c r="E85" i="1"/>
  <c r="E86" i="1"/>
  <c r="E88" i="1"/>
  <c r="E94" i="1"/>
  <c r="E95" i="1"/>
  <c r="M94" i="1"/>
  <c r="M95" i="1"/>
  <c r="AC127" i="1"/>
  <c r="AC128" i="1"/>
  <c r="U127" i="1"/>
  <c r="U128" i="1"/>
  <c r="AE128" i="1"/>
  <c r="AE129" i="1"/>
</calcChain>
</file>

<file path=xl/sharedStrings.xml><?xml version="1.0" encoding="utf-8"?>
<sst xmlns="http://schemas.openxmlformats.org/spreadsheetml/2006/main" count="1434" uniqueCount="130">
  <si>
    <t>HI LO UNKNOWN Protocol</t>
  </si>
  <si>
    <t xml:space="preserve">TRAINING Protocol </t>
  </si>
  <si>
    <t xml:space="preserve">Unknown Protocol </t>
  </si>
  <si>
    <t>Training Protocol</t>
  </si>
  <si>
    <t>TEST Scan 1</t>
  </si>
  <si>
    <t>TEST Scan 2</t>
  </si>
  <si>
    <t>TEST Scan 3</t>
  </si>
  <si>
    <t>TEST SCAN 3</t>
  </si>
  <si>
    <t>**First one already includes present prob and ISI pre-heat</t>
  </si>
  <si>
    <t>TEST SCAN 1</t>
  </si>
  <si>
    <t>TEST SCAN 2</t>
  </si>
  <si>
    <t>Cue</t>
  </si>
  <si>
    <t>Stimulus Characteristic</t>
  </si>
  <si>
    <t>Temp.</t>
  </si>
  <si>
    <t>OLD VERSION &amp; UNUSED:</t>
  </si>
  <si>
    <t>events</t>
  </si>
  <si>
    <t>visual cue</t>
  </si>
  <si>
    <t>TRS</t>
  </si>
  <si>
    <t>time (s)</t>
  </si>
  <si>
    <t>Temperature degree C</t>
  </si>
  <si>
    <t>epoch 1</t>
  </si>
  <si>
    <t>Unknown</t>
  </si>
  <si>
    <t>L</t>
  </si>
  <si>
    <t>Static</t>
  </si>
  <si>
    <t>Dynamic</t>
  </si>
  <si>
    <t>H</t>
  </si>
  <si>
    <t>M</t>
  </si>
  <si>
    <t>epoch 2</t>
  </si>
  <si>
    <t>discard 6 TRS</t>
  </si>
  <si>
    <t>cross hair</t>
  </si>
  <si>
    <t>epoch 3</t>
  </si>
  <si>
    <t>epoch-1</t>
  </si>
  <si>
    <t>epoch 4</t>
  </si>
  <si>
    <t>anticipation</t>
  </si>
  <si>
    <t>(Static)</t>
  </si>
  <si>
    <t>present probability</t>
  </si>
  <si>
    <t>unknown</t>
  </si>
  <si>
    <t>(Dynamic)</t>
  </si>
  <si>
    <t>epoch 5</t>
  </si>
  <si>
    <t xml:space="preserve">Static </t>
  </si>
  <si>
    <t>ISI-pre heat</t>
  </si>
  <si>
    <t>epoch 6</t>
  </si>
  <si>
    <t>heat stimulus</t>
  </si>
  <si>
    <t>LOW (45)</t>
  </si>
  <si>
    <t>epoch 7</t>
  </si>
  <si>
    <t>HIGH</t>
    <phoneticPr fontId="8" type="noConversion"/>
  </si>
  <si>
    <t>ISI-post heat</t>
  </si>
  <si>
    <t>epoch 8</t>
  </si>
  <si>
    <t>rating</t>
  </si>
  <si>
    <t xml:space="preserve">scale </t>
  </si>
  <si>
    <t>epoch 9</t>
  </si>
  <si>
    <t>ISI</t>
  </si>
  <si>
    <t>epoch 10</t>
  </si>
  <si>
    <t>epoch-2</t>
  </si>
  <si>
    <t>epoch 11</t>
  </si>
  <si>
    <t>epoch 12</t>
  </si>
  <si>
    <t>epoch 13</t>
  </si>
  <si>
    <t>HIGH (47)</t>
  </si>
  <si>
    <t>the incoming heat stimulus is at x% intensity</t>
  </si>
  <si>
    <t>epoch 14</t>
  </si>
  <si>
    <t>LOW</t>
    <phoneticPr fontId="8" type="noConversion"/>
  </si>
  <si>
    <t>epoch 15</t>
  </si>
  <si>
    <t>epoch 16</t>
  </si>
  <si>
    <t>ITI</t>
  </si>
  <si>
    <t>epoch-3</t>
  </si>
  <si>
    <t>epoch-4</t>
  </si>
  <si>
    <t>epoch-5</t>
  </si>
  <si>
    <t>epoch-6</t>
  </si>
  <si>
    <t>epoch-7</t>
  </si>
  <si>
    <t>epoch-8</t>
  </si>
  <si>
    <t>epoch-9</t>
  </si>
  <si>
    <t>epoch-10</t>
    <phoneticPr fontId="0" type="noConversion"/>
  </si>
  <si>
    <t>epoch-10</t>
  </si>
  <si>
    <t>epoch-11</t>
    <phoneticPr fontId="0" type="noConversion"/>
  </si>
  <si>
    <t>epoch-11</t>
  </si>
  <si>
    <t>epoch-12</t>
    <phoneticPr fontId="0" type="noConversion"/>
  </si>
  <si>
    <t>epoch-12</t>
  </si>
  <si>
    <t>epoch-13</t>
    <phoneticPr fontId="8" type="noConversion"/>
  </si>
  <si>
    <t>total time</t>
  </si>
  <si>
    <t>epoch-14</t>
  </si>
  <si>
    <t>epoch-15</t>
  </si>
  <si>
    <t>epoch-16</t>
  </si>
  <si>
    <t>Time Scan 1:</t>
  </si>
  <si>
    <t>Time Scan 2:</t>
  </si>
  <si>
    <t>TOTAL TIME:</t>
  </si>
  <si>
    <t>dynamic pulses</t>
  </si>
  <si>
    <t>high</t>
  </si>
  <si>
    <t>low</t>
  </si>
  <si>
    <t>temp</t>
  </si>
  <si>
    <t>Ramp Rate (degree/second)</t>
  </si>
  <si>
    <t>duration in seconds</t>
  </si>
  <si>
    <t>trs</t>
  </si>
  <si>
    <t>baseline</t>
  </si>
  <si>
    <t>Timpoints</t>
  </si>
  <si>
    <t>For Ramp</t>
  </si>
  <si>
    <t>Timepoints</t>
  </si>
  <si>
    <t>ramptime</t>
  </si>
  <si>
    <t>target 1</t>
  </si>
  <si>
    <t>target 2</t>
  </si>
  <si>
    <t>target 3</t>
  </si>
  <si>
    <t xml:space="preserve">rampdowntime </t>
  </si>
  <si>
    <t>stim duration</t>
  </si>
  <si>
    <t>static  pulses</t>
  </si>
  <si>
    <t>rampuptime</t>
  </si>
  <si>
    <t xml:space="preserve">target </t>
  </si>
  <si>
    <t>ramp down time</t>
  </si>
  <si>
    <t>discard  TRS</t>
  </si>
  <si>
    <t>HI LO UNKNOWN</t>
  </si>
  <si>
    <t>Anticipation</t>
  </si>
  <si>
    <t>TIMING (Rating)</t>
  </si>
  <si>
    <t>SCAN_1</t>
  </si>
  <si>
    <t>SCAN 2</t>
  </si>
  <si>
    <t>TRAINING</t>
  </si>
  <si>
    <t>low epochs dynamic:1,4,10</t>
  </si>
  <si>
    <t>hi epochs stat: 3,6,11</t>
  </si>
  <si>
    <t>low epochs stat:5,8,12</t>
  </si>
  <si>
    <t>hi epochs dynamic:</t>
  </si>
  <si>
    <t>rating starts</t>
  </si>
  <si>
    <t>isi</t>
  </si>
  <si>
    <t>heat</t>
  </si>
  <si>
    <t>with 6 tr delay</t>
  </si>
  <si>
    <t>cue duration</t>
  </si>
  <si>
    <t>heat duration</t>
  </si>
  <si>
    <t>rating duration</t>
  </si>
  <si>
    <t>for cbp</t>
  </si>
  <si>
    <t>cue TRS---final: 8-12</t>
  </si>
  <si>
    <t>heat TRs---final 14-21</t>
  </si>
  <si>
    <t>rating TRs --final: 27:32 (edited) </t>
  </si>
  <si>
    <t>for Adam's</t>
  </si>
  <si>
    <t>this is with an HRF delay of 6 TRS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</si>
</sst>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3"/>
      <charset val="129"/>
      <scheme val="minor"/>
    </font>
    <font>
      <sz val="11"/>
      <color theme="1"/>
      <name val="Calibri"/>
      <family val="3"/>
      <charset val="129"/>
      <scheme val="minor"/>
    </font>
    <font>
      <b/>
      <sz val="9"/>
      <color rgb="FF000000"/>
      <name val="Tahoma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5"/>
      <color rgb="FF1D1C1D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22">
    <xf numFmtId="0" fontId="0" fillId="0" borderId="0"/>
    <xf numFmtId="0" fontId="3" fillId="0" borderId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39">
    <xf numFmtId="0" fontId="0" fillId="0" borderId="0" xfId="0"/>
    <xf numFmtId="0" fontId="4" fillId="0" borderId="0" xfId="1" applyFont="1"/>
    <xf numFmtId="0" fontId="3" fillId="0" borderId="0" xfId="1"/>
    <xf numFmtId="2" fontId="3" fillId="0" borderId="0" xfId="1" applyNumberFormat="1"/>
    <xf numFmtId="0" fontId="5" fillId="0" borderId="0" xfId="1" applyFont="1"/>
    <xf numFmtId="0" fontId="6" fillId="0" borderId="0" xfId="1" applyFont="1"/>
    <xf numFmtId="0" fontId="7" fillId="0" borderId="0" xfId="1" applyFont="1"/>
    <xf numFmtId="9" fontId="4" fillId="0" borderId="0" xfId="1" applyNumberFormat="1" applyFont="1"/>
    <xf numFmtId="0" fontId="4" fillId="0" borderId="0" xfId="0" applyFont="1"/>
    <xf numFmtId="0" fontId="5" fillId="2" borderId="0" xfId="0" applyFont="1" applyFill="1"/>
    <xf numFmtId="0" fontId="5" fillId="0" borderId="0" xfId="0" applyFont="1"/>
    <xf numFmtId="0" fontId="12" fillId="0" borderId="0" xfId="0" applyFont="1"/>
    <xf numFmtId="0" fontId="2" fillId="0" borderId="0" xfId="1" applyFont="1"/>
    <xf numFmtId="2" fontId="4" fillId="0" borderId="0" xfId="1" applyNumberFormat="1" applyFont="1"/>
    <xf numFmtId="0" fontId="5" fillId="7" borderId="0" xfId="0" applyFont="1" applyFill="1"/>
    <xf numFmtId="0" fontId="1" fillId="0" borderId="0" xfId="0" applyFont="1"/>
    <xf numFmtId="0" fontId="1" fillId="0" borderId="0" xfId="1" applyFont="1"/>
    <xf numFmtId="0" fontId="1" fillId="2" borderId="0" xfId="1" applyFont="1" applyFill="1"/>
    <xf numFmtId="0" fontId="1" fillId="6" borderId="0" xfId="1" applyFont="1" applyFill="1"/>
    <xf numFmtId="0" fontId="1" fillId="4" borderId="0" xfId="1" applyFont="1" applyFill="1"/>
    <xf numFmtId="0" fontId="1" fillId="3" borderId="0" xfId="1" applyFont="1" applyFill="1"/>
    <xf numFmtId="0" fontId="1" fillId="0" borderId="0" xfId="1" applyFont="1" applyFill="1"/>
    <xf numFmtId="9" fontId="1" fillId="0" borderId="0" xfId="1" applyNumberFormat="1" applyFont="1"/>
    <xf numFmtId="9" fontId="1" fillId="0" borderId="0" xfId="0" applyNumberFormat="1" applyFont="1"/>
    <xf numFmtId="0" fontId="13" fillId="4" borderId="0" xfId="1" applyFont="1" applyFill="1"/>
    <xf numFmtId="0" fontId="1" fillId="4" borderId="0" xfId="0" applyFont="1" applyFill="1"/>
    <xf numFmtId="0" fontId="1" fillId="0" borderId="0" xfId="0" applyFont="1" applyFill="1"/>
    <xf numFmtId="2" fontId="1" fillId="5" borderId="0" xfId="1" applyNumberFormat="1" applyFont="1" applyFill="1"/>
    <xf numFmtId="0" fontId="1" fillId="5" borderId="0" xfId="0" applyFont="1" applyFill="1"/>
    <xf numFmtId="2" fontId="1" fillId="0" borderId="0" xfId="1" applyNumberFormat="1" applyFont="1"/>
    <xf numFmtId="0" fontId="14" fillId="0" borderId="0" xfId="1" applyFont="1"/>
    <xf numFmtId="0" fontId="1" fillId="5" borderId="0" xfId="1" applyFont="1" applyFill="1"/>
    <xf numFmtId="0" fontId="1" fillId="7" borderId="0" xfId="0" applyFont="1" applyFill="1"/>
    <xf numFmtId="0" fontId="1" fillId="2" borderId="0" xfId="0" applyFont="1" applyFill="1"/>
    <xf numFmtId="0" fontId="15" fillId="0" borderId="0" xfId="0" applyFont="1"/>
    <xf numFmtId="0" fontId="15" fillId="7" borderId="0" xfId="0" applyFont="1" applyFill="1"/>
    <xf numFmtId="0" fontId="16" fillId="0" borderId="0" xfId="0" applyFont="1"/>
    <xf numFmtId="0" fontId="18" fillId="0" borderId="0" xfId="0" applyFont="1"/>
    <xf numFmtId="0" fontId="17" fillId="0" borderId="0" xfId="0" applyFont="1"/>
  </cellXfs>
  <cellStyles count="22">
    <cellStyle name="Followed Hyperlink" xfId="17" builtinId="9" hidden="1"/>
    <cellStyle name="Followed Hyperlink" xfId="15" builtinId="9" hidden="1"/>
    <cellStyle name="Followed Hyperlink" xfId="11" builtinId="9" hidden="1"/>
    <cellStyle name="Followed Hyperlink" xfId="13" builtinId="9" hidden="1"/>
    <cellStyle name="Followed Hyperlink" xfId="3" builtinId="9" hidden="1"/>
    <cellStyle name="Followed Hyperlink" xfId="5" builtinId="9" hidden="1"/>
    <cellStyle name="Followed Hyperlink" xfId="9" builtinId="9" hidden="1"/>
    <cellStyle name="Followed Hyperlink" xfId="7" builtinId="9" hidden="1"/>
    <cellStyle name="Followed Hyperlink" xfId="19" builtinId="9" hidden="1"/>
    <cellStyle name="Followed Hyperlink" xfId="21" builtinId="9" hidden="1"/>
    <cellStyle name="Hyperlink" xfId="16" builtinId="8" hidden="1"/>
    <cellStyle name="Hyperlink" xfId="12" builtinId="8" hidden="1"/>
    <cellStyle name="Hyperlink" xfId="14" builtinId="8" hidden="1"/>
    <cellStyle name="Hyperlink" xfId="6" builtinId="8" hidden="1"/>
    <cellStyle name="Hyperlink" xfId="8" builtinId="8" hidden="1"/>
    <cellStyle name="Hyperlink" xfId="10" builtinId="8" hidden="1"/>
    <cellStyle name="Hyperlink" xfId="2" builtinId="8" hidden="1"/>
    <cellStyle name="Hyperlink" xfId="4" builtinId="8" hidden="1"/>
    <cellStyle name="Hyperlink" xfId="18" builtinId="8" hidden="1"/>
    <cellStyle name="Hyperlink" xfId="20" builtinId="8" hidden="1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J129"/>
  <sheetViews>
    <sheetView topLeftCell="A2" zoomScale="120" zoomScaleNormal="120" workbookViewId="0">
      <selection activeCell="G23" sqref="G23"/>
    </sheetView>
  </sheetViews>
  <sheetFormatPr baseColWidth="10" defaultColWidth="11" defaultRowHeight="15" x14ac:dyDescent="0.2"/>
  <cols>
    <col min="1" max="9" width="11" style="15"/>
    <col min="10" max="10" width="21.6640625" style="15" customWidth="1"/>
    <col min="11" max="17" width="11" style="15"/>
    <col min="18" max="18" width="16.33203125" style="15" bestFit="1" customWidth="1"/>
    <col min="19" max="21" width="11" style="15"/>
    <col min="22" max="24" width="11.5" style="15" customWidth="1"/>
    <col min="25" max="64" width="11" style="15"/>
    <col min="65" max="65" width="22.83203125" style="15" bestFit="1" customWidth="1"/>
    <col min="66" max="16384" width="11" style="15"/>
  </cols>
  <sheetData>
    <row r="1" spans="1:88" x14ac:dyDescent="0.2">
      <c r="A1" s="1" t="s">
        <v>0</v>
      </c>
      <c r="B1" s="1"/>
      <c r="C1" s="1"/>
      <c r="D1" s="1"/>
      <c r="E1" s="1"/>
      <c r="F1" s="1"/>
      <c r="G1" s="1"/>
      <c r="H1" s="1"/>
      <c r="I1" s="1" t="s">
        <v>1</v>
      </c>
      <c r="L1" s="1"/>
      <c r="M1" s="1"/>
      <c r="N1" s="1"/>
      <c r="O1" s="1"/>
      <c r="P1" s="1"/>
      <c r="R1" s="1" t="s">
        <v>116</v>
      </c>
      <c r="S1" s="1" t="s">
        <v>114</v>
      </c>
      <c r="AE1" s="8"/>
      <c r="AI1" s="8" t="s">
        <v>2</v>
      </c>
      <c r="AO1" s="8" t="s">
        <v>3</v>
      </c>
      <c r="AS1" s="16"/>
      <c r="AT1" s="1" t="s">
        <v>4</v>
      </c>
      <c r="AU1" s="16"/>
      <c r="AV1" s="16"/>
      <c r="AW1" s="16"/>
      <c r="AY1" s="1" t="s">
        <v>5</v>
      </c>
      <c r="AZ1" s="16"/>
      <c r="BA1" s="16"/>
      <c r="BB1" s="16"/>
      <c r="BO1" s="1" t="s">
        <v>4</v>
      </c>
      <c r="BP1" s="16"/>
      <c r="BQ1" s="16"/>
      <c r="BR1" s="16"/>
      <c r="BT1" s="1" t="s">
        <v>5</v>
      </c>
      <c r="BU1" s="16"/>
      <c r="BV1" s="16"/>
      <c r="BW1" s="16"/>
      <c r="BY1" s="1" t="s">
        <v>6</v>
      </c>
      <c r="BZ1" s="16"/>
      <c r="CA1" s="16"/>
      <c r="CB1" s="16"/>
      <c r="CE1" s="11" t="s">
        <v>7</v>
      </c>
      <c r="CF1" s="8"/>
      <c r="CG1" s="8"/>
      <c r="CH1" s="8"/>
      <c r="CI1" s="8"/>
      <c r="CJ1" s="8"/>
    </row>
    <row r="2" spans="1:88" x14ac:dyDescent="0.2">
      <c r="A2" s="16"/>
      <c r="B2" s="16"/>
      <c r="C2" s="16"/>
      <c r="D2" s="16"/>
      <c r="E2" s="16" t="s">
        <v>8</v>
      </c>
      <c r="F2" s="16"/>
      <c r="G2" s="16"/>
      <c r="H2" s="16"/>
      <c r="I2" s="16"/>
      <c r="L2" s="16"/>
      <c r="M2" s="16"/>
      <c r="N2" s="16"/>
      <c r="O2" s="16"/>
      <c r="P2" s="16"/>
      <c r="Q2" s="8" t="s">
        <v>9</v>
      </c>
      <c r="R2" s="16" t="s">
        <v>113</v>
      </c>
      <c r="S2" s="16" t="s">
        <v>115</v>
      </c>
      <c r="T2" s="8"/>
      <c r="U2" s="8"/>
      <c r="V2" s="8"/>
      <c r="W2" s="8"/>
      <c r="X2" s="8"/>
      <c r="Y2" s="8" t="s">
        <v>10</v>
      </c>
      <c r="Z2" s="8"/>
      <c r="AA2" s="8"/>
      <c r="AB2" s="8"/>
      <c r="AC2" s="8"/>
      <c r="AD2" s="8"/>
      <c r="AI2" s="16"/>
      <c r="AJ2" s="16" t="s">
        <v>11</v>
      </c>
      <c r="AK2" s="16"/>
      <c r="AL2" s="16" t="s">
        <v>12</v>
      </c>
      <c r="AM2" s="16"/>
      <c r="AN2" s="16"/>
      <c r="AO2" s="16"/>
      <c r="AP2" s="16" t="s">
        <v>11</v>
      </c>
      <c r="AQ2" s="16"/>
      <c r="AR2" s="16" t="s">
        <v>12</v>
      </c>
      <c r="AS2" s="16"/>
      <c r="AU2" s="16" t="s">
        <v>11</v>
      </c>
      <c r="AV2" s="16" t="s">
        <v>13</v>
      </c>
      <c r="AW2" s="16" t="s">
        <v>12</v>
      </c>
      <c r="AZ2" s="16" t="s">
        <v>11</v>
      </c>
      <c r="BA2" s="16" t="s">
        <v>13</v>
      </c>
      <c r="BB2" s="16" t="s">
        <v>12</v>
      </c>
      <c r="BM2" s="8" t="s">
        <v>14</v>
      </c>
      <c r="BP2" s="16" t="s">
        <v>11</v>
      </c>
      <c r="BQ2" s="16" t="s">
        <v>13</v>
      </c>
      <c r="BR2" s="16" t="s">
        <v>12</v>
      </c>
      <c r="BU2" s="16" t="s">
        <v>11</v>
      </c>
      <c r="BV2" s="16" t="s">
        <v>13</v>
      </c>
      <c r="BW2" s="16" t="s">
        <v>12</v>
      </c>
      <c r="BZ2" s="16" t="s">
        <v>11</v>
      </c>
      <c r="CA2" s="16" t="s">
        <v>13</v>
      </c>
      <c r="CB2" s="16" t="s">
        <v>12</v>
      </c>
    </row>
    <row r="3" spans="1:88" x14ac:dyDescent="0.2">
      <c r="A3" s="16"/>
      <c r="B3" s="16" t="s">
        <v>15</v>
      </c>
      <c r="C3" s="16" t="s">
        <v>16</v>
      </c>
      <c r="D3" s="16" t="s">
        <v>17</v>
      </c>
      <c r="E3" s="16" t="s">
        <v>18</v>
      </c>
      <c r="F3" s="16" t="s">
        <v>19</v>
      </c>
      <c r="G3" s="16"/>
      <c r="H3" s="16"/>
      <c r="I3" s="16"/>
      <c r="J3" s="16" t="s">
        <v>15</v>
      </c>
      <c r="K3" s="16" t="s">
        <v>16</v>
      </c>
      <c r="L3" s="16" t="s">
        <v>17</v>
      </c>
      <c r="M3" s="16" t="s">
        <v>18</v>
      </c>
      <c r="N3" s="16" t="s">
        <v>19</v>
      </c>
      <c r="O3" s="16"/>
      <c r="P3" s="16"/>
      <c r="AI3" s="16" t="s">
        <v>20</v>
      </c>
      <c r="AJ3" s="17" t="s">
        <v>21</v>
      </c>
      <c r="AK3" s="17" t="s">
        <v>22</v>
      </c>
      <c r="AL3" s="16" t="s">
        <v>23</v>
      </c>
      <c r="AN3" s="16"/>
      <c r="AO3" s="16" t="s">
        <v>20</v>
      </c>
      <c r="AP3" s="17">
        <v>15</v>
      </c>
      <c r="AQ3" s="17" t="s">
        <v>22</v>
      </c>
      <c r="AR3" s="16" t="s">
        <v>24</v>
      </c>
      <c r="AS3" s="16"/>
      <c r="AT3" s="16" t="s">
        <v>20</v>
      </c>
      <c r="AU3" s="17">
        <v>15</v>
      </c>
      <c r="AV3" s="17" t="s">
        <v>22</v>
      </c>
      <c r="AW3" s="16" t="s">
        <v>24</v>
      </c>
      <c r="AY3" s="16" t="s">
        <v>20</v>
      </c>
      <c r="AZ3" s="17">
        <v>15</v>
      </c>
      <c r="BA3" s="17" t="s">
        <v>22</v>
      </c>
      <c r="BB3" s="16" t="s">
        <v>24</v>
      </c>
      <c r="BO3" s="16" t="s">
        <v>20</v>
      </c>
      <c r="BP3" s="17">
        <v>50</v>
      </c>
      <c r="BQ3" s="17" t="s">
        <v>22</v>
      </c>
      <c r="BR3" s="16" t="s">
        <v>23</v>
      </c>
      <c r="BT3" s="16" t="s">
        <v>20</v>
      </c>
      <c r="BU3" s="18">
        <v>50</v>
      </c>
      <c r="BV3" s="18" t="s">
        <v>25</v>
      </c>
      <c r="BW3" s="16" t="s">
        <v>23</v>
      </c>
      <c r="BY3" s="16" t="s">
        <v>20</v>
      </c>
      <c r="BZ3" s="19">
        <v>90</v>
      </c>
      <c r="CA3" s="19" t="s">
        <v>26</v>
      </c>
      <c r="CB3" s="16" t="s">
        <v>23</v>
      </c>
      <c r="CF3" s="15" t="s">
        <v>15</v>
      </c>
      <c r="CG3" s="15" t="s">
        <v>16</v>
      </c>
      <c r="CH3" s="15" t="s">
        <v>17</v>
      </c>
      <c r="CI3" s="15" t="s">
        <v>18</v>
      </c>
      <c r="CJ3" s="15" t="s">
        <v>19</v>
      </c>
    </row>
    <row r="4" spans="1:88" x14ac:dyDescent="0.2">
      <c r="A4" s="16"/>
      <c r="G4" s="16"/>
      <c r="H4" s="16"/>
      <c r="I4" s="16"/>
      <c r="O4" s="16"/>
      <c r="P4" s="16"/>
      <c r="R4" s="8" t="s">
        <v>15</v>
      </c>
      <c r="S4" s="8" t="s">
        <v>16</v>
      </c>
      <c r="T4" s="8" t="s">
        <v>17</v>
      </c>
      <c r="U4" s="8" t="s">
        <v>18</v>
      </c>
      <c r="V4" s="1" t="s">
        <v>19</v>
      </c>
      <c r="W4" s="16" t="s">
        <v>109</v>
      </c>
      <c r="X4" s="16"/>
      <c r="Z4" s="15" t="s">
        <v>15</v>
      </c>
      <c r="AA4" s="15" t="s">
        <v>16</v>
      </c>
      <c r="AB4" s="15" t="s">
        <v>17</v>
      </c>
      <c r="AC4" s="15" t="s">
        <v>18</v>
      </c>
      <c r="AD4" s="15" t="s">
        <v>19</v>
      </c>
      <c r="AE4" s="16" t="s">
        <v>109</v>
      </c>
      <c r="AI4" s="16" t="s">
        <v>27</v>
      </c>
      <c r="AJ4" s="20" t="s">
        <v>21</v>
      </c>
      <c r="AK4" s="20" t="s">
        <v>25</v>
      </c>
      <c r="AL4" s="16" t="s">
        <v>23</v>
      </c>
      <c r="AN4" s="16"/>
      <c r="AO4" s="16" t="s">
        <v>27</v>
      </c>
      <c r="AP4" s="20">
        <v>90</v>
      </c>
      <c r="AQ4" s="20" t="s">
        <v>25</v>
      </c>
      <c r="AR4" s="16" t="s">
        <v>24</v>
      </c>
      <c r="AS4" s="16"/>
      <c r="AT4" s="16" t="s">
        <v>27</v>
      </c>
      <c r="AU4" s="18">
        <v>15</v>
      </c>
      <c r="AV4" s="18" t="s">
        <v>25</v>
      </c>
      <c r="AW4" s="16" t="s">
        <v>24</v>
      </c>
      <c r="AY4" s="16" t="s">
        <v>27</v>
      </c>
      <c r="AZ4" s="18">
        <v>90</v>
      </c>
      <c r="BA4" s="18" t="s">
        <v>25</v>
      </c>
      <c r="BB4" s="16" t="s">
        <v>23</v>
      </c>
      <c r="BO4" s="16" t="s">
        <v>27</v>
      </c>
      <c r="BP4" s="19">
        <v>15</v>
      </c>
      <c r="BQ4" s="19" t="s">
        <v>26</v>
      </c>
      <c r="BR4" s="16" t="s">
        <v>24</v>
      </c>
      <c r="BT4" s="16" t="s">
        <v>27</v>
      </c>
      <c r="BU4" s="19">
        <v>50</v>
      </c>
      <c r="BV4" s="19" t="s">
        <v>26</v>
      </c>
      <c r="BW4" s="21" t="s">
        <v>24</v>
      </c>
      <c r="BY4" s="16" t="s">
        <v>27</v>
      </c>
      <c r="BZ4" s="17">
        <v>50</v>
      </c>
      <c r="CA4" s="17" t="s">
        <v>22</v>
      </c>
      <c r="CB4" s="16" t="s">
        <v>24</v>
      </c>
      <c r="CF4" s="15" t="s">
        <v>28</v>
      </c>
      <c r="CG4" s="15" t="s">
        <v>29</v>
      </c>
      <c r="CH4" s="15">
        <v>17</v>
      </c>
      <c r="CI4" s="15">
        <f>CH4*0.95</f>
        <v>16.149999999999999</v>
      </c>
      <c r="CJ4" s="15">
        <v>35</v>
      </c>
    </row>
    <row r="5" spans="1:88" x14ac:dyDescent="0.2">
      <c r="G5" s="15" t="s">
        <v>109</v>
      </c>
      <c r="O5" s="16" t="s">
        <v>109</v>
      </c>
      <c r="P5" s="16"/>
      <c r="AI5" s="16" t="s">
        <v>30</v>
      </c>
      <c r="AJ5" s="17" t="s">
        <v>21</v>
      </c>
      <c r="AK5" s="17" t="s">
        <v>22</v>
      </c>
      <c r="AL5" s="16" t="s">
        <v>24</v>
      </c>
      <c r="AN5" s="16"/>
      <c r="AO5" s="16" t="s">
        <v>30</v>
      </c>
      <c r="AP5" s="20">
        <v>90</v>
      </c>
      <c r="AQ5" s="20" t="s">
        <v>25</v>
      </c>
      <c r="AR5" s="16" t="s">
        <v>23</v>
      </c>
      <c r="AS5" s="16"/>
      <c r="AT5" s="16" t="s">
        <v>30</v>
      </c>
      <c r="AU5" s="17">
        <v>90</v>
      </c>
      <c r="AV5" s="17" t="s">
        <v>22</v>
      </c>
      <c r="AW5" s="16" t="s">
        <v>24</v>
      </c>
      <c r="AY5" s="16" t="s">
        <v>30</v>
      </c>
      <c r="AZ5" s="17">
        <v>15</v>
      </c>
      <c r="BA5" s="17" t="s">
        <v>22</v>
      </c>
      <c r="BB5" s="16" t="s">
        <v>23</v>
      </c>
      <c r="BO5" s="16" t="s">
        <v>30</v>
      </c>
      <c r="BP5" s="18">
        <v>50</v>
      </c>
      <c r="BQ5" s="18" t="s">
        <v>25</v>
      </c>
      <c r="BR5" s="16" t="s">
        <v>24</v>
      </c>
      <c r="BT5" s="16" t="s">
        <v>30</v>
      </c>
      <c r="BU5" s="17">
        <v>90</v>
      </c>
      <c r="BV5" s="17" t="s">
        <v>22</v>
      </c>
      <c r="BW5" s="16" t="s">
        <v>23</v>
      </c>
      <c r="BY5" s="16" t="s">
        <v>30</v>
      </c>
      <c r="BZ5" s="19">
        <v>15</v>
      </c>
      <c r="CA5" s="19" t="s">
        <v>26</v>
      </c>
      <c r="CB5" s="16" t="s">
        <v>24</v>
      </c>
      <c r="CH5" s="15">
        <v>5</v>
      </c>
    </row>
    <row r="6" spans="1:88" x14ac:dyDescent="0.2">
      <c r="A6" s="16" t="s">
        <v>31</v>
      </c>
      <c r="B6" s="15" t="s">
        <v>106</v>
      </c>
      <c r="C6" s="15" t="s">
        <v>29</v>
      </c>
      <c r="D6" s="15">
        <v>17</v>
      </c>
      <c r="E6" s="15">
        <f>D6*0.95</f>
        <v>16.149999999999999</v>
      </c>
      <c r="F6" s="15">
        <v>35</v>
      </c>
      <c r="G6" s="16"/>
      <c r="H6" s="16"/>
      <c r="I6" s="16" t="s">
        <v>31</v>
      </c>
      <c r="J6" s="15" t="s">
        <v>106</v>
      </c>
      <c r="K6" s="15" t="s">
        <v>29</v>
      </c>
      <c r="L6" s="15">
        <v>17</v>
      </c>
      <c r="M6" s="15">
        <f>L6*0.95</f>
        <v>16.149999999999999</v>
      </c>
      <c r="N6" s="15">
        <v>35</v>
      </c>
      <c r="O6" s="16"/>
      <c r="P6" s="16"/>
      <c r="Q6" s="15" t="s">
        <v>31</v>
      </c>
      <c r="R6" s="15" t="s">
        <v>106</v>
      </c>
      <c r="S6" s="15" t="s">
        <v>29</v>
      </c>
      <c r="T6" s="15">
        <v>17</v>
      </c>
      <c r="U6" s="15">
        <f>T6*0.95</f>
        <v>16.149999999999999</v>
      </c>
      <c r="V6" s="15">
        <v>35</v>
      </c>
      <c r="Y6" s="15" t="s">
        <v>31</v>
      </c>
      <c r="Z6" s="15" t="s">
        <v>106</v>
      </c>
      <c r="AA6" s="15" t="s">
        <v>29</v>
      </c>
      <c r="AB6" s="15">
        <v>17</v>
      </c>
      <c r="AC6" s="15">
        <f>AB6*0.95</f>
        <v>16.149999999999999</v>
      </c>
      <c r="AD6" s="15">
        <v>35</v>
      </c>
      <c r="AI6" s="16" t="s">
        <v>32</v>
      </c>
      <c r="AJ6" s="20" t="s">
        <v>21</v>
      </c>
      <c r="AK6" s="20" t="s">
        <v>25</v>
      </c>
      <c r="AL6" s="16" t="s">
        <v>23</v>
      </c>
      <c r="AN6" s="16"/>
      <c r="AO6" s="16" t="s">
        <v>32</v>
      </c>
      <c r="AP6" s="17">
        <v>15</v>
      </c>
      <c r="AQ6" s="17" t="s">
        <v>22</v>
      </c>
      <c r="AR6" s="16" t="s">
        <v>24</v>
      </c>
      <c r="AS6" s="16"/>
      <c r="AT6" s="16" t="s">
        <v>32</v>
      </c>
      <c r="AU6" s="18">
        <v>15</v>
      </c>
      <c r="AV6" s="18" t="s">
        <v>25</v>
      </c>
      <c r="AW6" s="16" t="s">
        <v>23</v>
      </c>
      <c r="AY6" s="16" t="s">
        <v>32</v>
      </c>
      <c r="AZ6" s="18">
        <v>90</v>
      </c>
      <c r="BA6" s="18" t="s">
        <v>25</v>
      </c>
      <c r="BB6" s="16" t="s">
        <v>24</v>
      </c>
      <c r="BO6" s="16" t="s">
        <v>32</v>
      </c>
      <c r="BP6" s="17">
        <v>90</v>
      </c>
      <c r="BQ6" s="17" t="s">
        <v>22</v>
      </c>
      <c r="BR6" s="16" t="s">
        <v>23</v>
      </c>
      <c r="BT6" s="16" t="s">
        <v>32</v>
      </c>
      <c r="BU6" s="18">
        <v>15</v>
      </c>
      <c r="BV6" s="18" t="s">
        <v>25</v>
      </c>
      <c r="BW6" s="16" t="s">
        <v>24</v>
      </c>
      <c r="BY6" s="16" t="s">
        <v>32</v>
      </c>
      <c r="BZ6" s="18">
        <v>15</v>
      </c>
      <c r="CA6" s="18" t="s">
        <v>25</v>
      </c>
      <c r="CB6" s="16" t="s">
        <v>23</v>
      </c>
      <c r="CE6" s="15" t="s">
        <v>31</v>
      </c>
      <c r="CF6" s="15" t="s">
        <v>33</v>
      </c>
      <c r="CG6" s="15" t="s">
        <v>29</v>
      </c>
      <c r="CH6" s="15">
        <v>1</v>
      </c>
      <c r="CI6" s="15">
        <f t="shared" ref="CI6:CI70" si="0">CH6*0.95</f>
        <v>0.95</v>
      </c>
      <c r="CJ6" s="15">
        <v>35</v>
      </c>
    </row>
    <row r="7" spans="1:88" x14ac:dyDescent="0.2">
      <c r="A7" s="16"/>
      <c r="C7" s="15" t="s">
        <v>108</v>
      </c>
      <c r="D7" s="15">
        <v>1</v>
      </c>
      <c r="E7" s="15">
        <v>0.95</v>
      </c>
      <c r="G7" s="16"/>
      <c r="H7" s="16"/>
      <c r="I7" s="16"/>
      <c r="L7" s="15">
        <v>1</v>
      </c>
      <c r="M7" s="15">
        <v>0.95</v>
      </c>
      <c r="O7" s="16"/>
      <c r="P7" s="16"/>
      <c r="S7" s="15" t="s">
        <v>108</v>
      </c>
      <c r="T7" s="15">
        <v>1</v>
      </c>
      <c r="U7" s="15">
        <v>0.95</v>
      </c>
      <c r="AB7" s="15">
        <v>1</v>
      </c>
      <c r="AC7" s="15">
        <v>0.95</v>
      </c>
      <c r="AI7" s="16" t="s">
        <v>38</v>
      </c>
      <c r="AJ7" s="20" t="s">
        <v>21</v>
      </c>
      <c r="AK7" s="20" t="s">
        <v>25</v>
      </c>
      <c r="AL7" s="16" t="s">
        <v>24</v>
      </c>
      <c r="AN7" s="16"/>
      <c r="AO7" s="16" t="s">
        <v>38</v>
      </c>
      <c r="AP7" s="17">
        <v>15</v>
      </c>
      <c r="AQ7" s="17" t="s">
        <v>22</v>
      </c>
      <c r="AR7" s="16" t="s">
        <v>39</v>
      </c>
      <c r="AS7" s="16"/>
      <c r="AT7" s="16" t="s">
        <v>38</v>
      </c>
      <c r="AU7" s="17">
        <v>90</v>
      </c>
      <c r="AV7" s="17" t="s">
        <v>22</v>
      </c>
      <c r="AW7" s="16" t="s">
        <v>23</v>
      </c>
      <c r="AY7" s="16" t="s">
        <v>38</v>
      </c>
      <c r="AZ7" s="17">
        <v>90</v>
      </c>
      <c r="BA7" s="17" t="s">
        <v>22</v>
      </c>
      <c r="BB7" s="16" t="s">
        <v>23</v>
      </c>
      <c r="BO7" s="16"/>
      <c r="BP7" s="17"/>
      <c r="BQ7" s="17"/>
      <c r="BR7" s="16"/>
      <c r="BT7" s="16"/>
      <c r="BU7" s="18"/>
      <c r="BV7" s="18"/>
      <c r="BW7" s="16"/>
      <c r="BY7" s="16"/>
      <c r="BZ7" s="18"/>
      <c r="CA7" s="18"/>
      <c r="CB7" s="16"/>
    </row>
    <row r="8" spans="1:88" x14ac:dyDescent="0.2">
      <c r="A8" s="16" t="s">
        <v>34</v>
      </c>
      <c r="B8" s="16" t="s">
        <v>35</v>
      </c>
      <c r="C8" s="7" t="s">
        <v>36</v>
      </c>
      <c r="D8" s="16">
        <v>5</v>
      </c>
      <c r="E8" s="16">
        <f t="shared" ref="E8:E37" si="1">D8*0.95</f>
        <v>4.75</v>
      </c>
      <c r="F8" s="16">
        <v>35</v>
      </c>
      <c r="G8" s="16"/>
      <c r="H8" s="16"/>
      <c r="I8" s="16" t="s">
        <v>37</v>
      </c>
      <c r="J8" s="16" t="s">
        <v>35</v>
      </c>
      <c r="K8" s="22">
        <v>0.15</v>
      </c>
      <c r="L8" s="16">
        <v>5</v>
      </c>
      <c r="M8" s="16">
        <f t="shared" ref="M8:M37" si="2">L8*0.95</f>
        <v>4.75</v>
      </c>
      <c r="N8" s="16">
        <v>35</v>
      </c>
      <c r="O8" s="16"/>
      <c r="P8" s="16"/>
      <c r="Q8" s="15" t="s">
        <v>37</v>
      </c>
      <c r="R8" s="15" t="s">
        <v>35</v>
      </c>
      <c r="S8" s="23">
        <v>7.0000000000000007E-2</v>
      </c>
      <c r="T8" s="15">
        <v>5</v>
      </c>
      <c r="U8" s="15">
        <f t="shared" ref="U8:U69" si="3">T8*0.95</f>
        <v>4.75</v>
      </c>
      <c r="V8" s="15">
        <v>35</v>
      </c>
      <c r="Y8" s="15" t="s">
        <v>37</v>
      </c>
      <c r="Z8" s="15" t="s">
        <v>35</v>
      </c>
      <c r="AA8" s="23">
        <v>0.03</v>
      </c>
      <c r="AB8" s="15">
        <v>5</v>
      </c>
      <c r="AC8" s="15">
        <f t="shared" ref="AC8:AC69" si="4">AB8*0.95</f>
        <v>4.75</v>
      </c>
      <c r="AD8" s="15">
        <v>35</v>
      </c>
      <c r="AI8" s="16" t="s">
        <v>41</v>
      </c>
      <c r="AJ8" s="17" t="s">
        <v>21</v>
      </c>
      <c r="AK8" s="17" t="s">
        <v>22</v>
      </c>
      <c r="AL8" s="16" t="s">
        <v>24</v>
      </c>
      <c r="AN8" s="16"/>
      <c r="AO8" s="16" t="s">
        <v>41</v>
      </c>
      <c r="AP8" s="20">
        <v>90</v>
      </c>
      <c r="AQ8" s="20" t="s">
        <v>25</v>
      </c>
      <c r="AR8" s="16" t="s">
        <v>23</v>
      </c>
      <c r="AS8" s="16"/>
      <c r="AT8" s="16" t="s">
        <v>41</v>
      </c>
      <c r="AU8" s="18">
        <v>15</v>
      </c>
      <c r="AV8" s="18" t="s">
        <v>25</v>
      </c>
      <c r="AW8" s="16" t="s">
        <v>24</v>
      </c>
      <c r="AY8" s="16" t="s">
        <v>41</v>
      </c>
      <c r="AZ8" s="18">
        <v>15</v>
      </c>
      <c r="BA8" s="18" t="s">
        <v>25</v>
      </c>
      <c r="BB8" s="16" t="s">
        <v>24</v>
      </c>
      <c r="BO8" s="16" t="s">
        <v>38</v>
      </c>
      <c r="BP8" s="19">
        <v>90</v>
      </c>
      <c r="BQ8" s="19" t="s">
        <v>26</v>
      </c>
      <c r="BR8" s="16" t="s">
        <v>23</v>
      </c>
      <c r="BT8" s="16" t="s">
        <v>38</v>
      </c>
      <c r="BU8" s="19">
        <v>90</v>
      </c>
      <c r="BV8" s="19" t="s">
        <v>26</v>
      </c>
      <c r="BW8" s="16" t="s">
        <v>24</v>
      </c>
      <c r="BY8" s="16" t="s">
        <v>38</v>
      </c>
      <c r="BZ8" s="18">
        <v>50</v>
      </c>
      <c r="CA8" s="18" t="s">
        <v>25</v>
      </c>
      <c r="CB8" s="16" t="s">
        <v>24</v>
      </c>
      <c r="CF8" s="15" t="s">
        <v>35</v>
      </c>
      <c r="CG8" s="23">
        <v>0.5</v>
      </c>
      <c r="CH8" s="15">
        <v>5</v>
      </c>
      <c r="CI8" s="15">
        <f t="shared" si="0"/>
        <v>4.75</v>
      </c>
      <c r="CJ8" s="15">
        <v>35</v>
      </c>
    </row>
    <row r="9" spans="1:88" x14ac:dyDescent="0.2">
      <c r="A9" s="16"/>
      <c r="B9" s="16" t="s">
        <v>40</v>
      </c>
      <c r="C9" s="16" t="s">
        <v>29</v>
      </c>
      <c r="D9" s="16">
        <v>4</v>
      </c>
      <c r="E9" s="16">
        <f t="shared" si="1"/>
        <v>3.8</v>
      </c>
      <c r="F9" s="16">
        <v>35</v>
      </c>
      <c r="G9" s="16"/>
      <c r="H9" s="16"/>
      <c r="I9" s="16"/>
      <c r="J9" s="16" t="s">
        <v>40</v>
      </c>
      <c r="K9" s="16" t="s">
        <v>29</v>
      </c>
      <c r="L9" s="16">
        <v>4</v>
      </c>
      <c r="M9" s="16">
        <f t="shared" si="2"/>
        <v>3.8</v>
      </c>
      <c r="N9" s="16">
        <v>35</v>
      </c>
      <c r="O9" s="16"/>
      <c r="P9" s="16"/>
      <c r="R9" s="15" t="s">
        <v>40</v>
      </c>
      <c r="S9" s="15" t="s">
        <v>29</v>
      </c>
      <c r="T9" s="15">
        <v>4</v>
      </c>
      <c r="U9" s="15">
        <f t="shared" si="3"/>
        <v>3.8</v>
      </c>
      <c r="V9" s="15">
        <v>35</v>
      </c>
      <c r="Z9" s="15" t="s">
        <v>40</v>
      </c>
      <c r="AA9" s="15" t="s">
        <v>29</v>
      </c>
      <c r="AB9" s="15">
        <v>4</v>
      </c>
      <c r="AC9" s="15">
        <f t="shared" si="4"/>
        <v>3.8</v>
      </c>
      <c r="AD9" s="15">
        <v>35</v>
      </c>
      <c r="AI9" s="16" t="s">
        <v>44</v>
      </c>
      <c r="AJ9" s="17" t="s">
        <v>21</v>
      </c>
      <c r="AK9" s="17" t="s">
        <v>22</v>
      </c>
      <c r="AL9" s="16" t="s">
        <v>23</v>
      </c>
      <c r="AN9" s="16"/>
      <c r="AO9" s="16" t="s">
        <v>44</v>
      </c>
      <c r="AP9" s="20">
        <v>90</v>
      </c>
      <c r="AQ9" s="20" t="s">
        <v>25</v>
      </c>
      <c r="AR9" s="16" t="s">
        <v>24</v>
      </c>
      <c r="AS9" s="16"/>
      <c r="AT9" s="16" t="s">
        <v>44</v>
      </c>
      <c r="AU9" s="18">
        <v>90</v>
      </c>
      <c r="AV9" s="18" t="s">
        <v>25</v>
      </c>
      <c r="AW9" s="16" t="s">
        <v>23</v>
      </c>
      <c r="AY9" s="16" t="s">
        <v>44</v>
      </c>
      <c r="AZ9" s="17">
        <v>15</v>
      </c>
      <c r="BA9" s="17" t="s">
        <v>22</v>
      </c>
      <c r="BB9" s="16" t="s">
        <v>23</v>
      </c>
      <c r="BO9" s="16" t="s">
        <v>41</v>
      </c>
      <c r="BP9" s="19">
        <v>50</v>
      </c>
      <c r="BQ9" s="19" t="s">
        <v>26</v>
      </c>
      <c r="BR9" s="21" t="s">
        <v>23</v>
      </c>
      <c r="BT9" s="16" t="s">
        <v>41</v>
      </c>
      <c r="BU9" s="17">
        <v>50</v>
      </c>
      <c r="BV9" s="17" t="s">
        <v>22</v>
      </c>
      <c r="BW9" s="21" t="s">
        <v>23</v>
      </c>
      <c r="BY9" s="16" t="s">
        <v>41</v>
      </c>
      <c r="BZ9" s="19">
        <v>90</v>
      </c>
      <c r="CA9" s="19" t="s">
        <v>26</v>
      </c>
      <c r="CB9" s="16" t="s">
        <v>24</v>
      </c>
      <c r="CF9" s="15" t="s">
        <v>40</v>
      </c>
      <c r="CG9" s="15" t="s">
        <v>29</v>
      </c>
      <c r="CH9" s="15">
        <v>2</v>
      </c>
      <c r="CI9" s="15">
        <f t="shared" si="0"/>
        <v>1.9</v>
      </c>
      <c r="CJ9" s="15">
        <v>35</v>
      </c>
    </row>
    <row r="10" spans="1:88" x14ac:dyDescent="0.2">
      <c r="A10" s="16"/>
      <c r="B10" s="19" t="s">
        <v>42</v>
      </c>
      <c r="C10" s="19" t="s">
        <v>29</v>
      </c>
      <c r="D10" s="19">
        <v>8.5</v>
      </c>
      <c r="E10" s="16">
        <f>D10*0.95</f>
        <v>8.0749999999999993</v>
      </c>
      <c r="F10" s="24">
        <v>45</v>
      </c>
      <c r="G10" s="16"/>
      <c r="H10" s="16"/>
      <c r="I10" s="16"/>
      <c r="J10" s="19" t="s">
        <v>42</v>
      </c>
      <c r="K10" s="19" t="s">
        <v>29</v>
      </c>
      <c r="L10" s="19">
        <v>8.5</v>
      </c>
      <c r="M10" s="16">
        <f>L10*0.95</f>
        <v>8.0749999999999993</v>
      </c>
      <c r="N10" s="24" t="s">
        <v>43</v>
      </c>
      <c r="O10" s="16"/>
      <c r="P10" s="16"/>
      <c r="R10" s="25" t="s">
        <v>42</v>
      </c>
      <c r="S10" s="25" t="s">
        <v>29</v>
      </c>
      <c r="T10" s="19">
        <v>8.5</v>
      </c>
      <c r="U10" s="16">
        <f>T10*0.95</f>
        <v>8.0749999999999993</v>
      </c>
      <c r="V10" s="19" t="s">
        <v>43</v>
      </c>
      <c r="W10" s="21"/>
      <c r="X10" s="21"/>
      <c r="Z10" s="25" t="s">
        <v>42</v>
      </c>
      <c r="AA10" s="25" t="s">
        <v>29</v>
      </c>
      <c r="AB10" s="19">
        <v>8.5</v>
      </c>
      <c r="AC10" s="16">
        <f>AB10*0.95</f>
        <v>8.0749999999999993</v>
      </c>
      <c r="AD10" s="25" t="s">
        <v>43</v>
      </c>
      <c r="AI10" s="16" t="s">
        <v>47</v>
      </c>
      <c r="AJ10" s="20" t="s">
        <v>21</v>
      </c>
      <c r="AK10" s="20" t="s">
        <v>25</v>
      </c>
      <c r="AL10" s="16" t="s">
        <v>24</v>
      </c>
      <c r="AN10" s="16"/>
      <c r="AO10" s="16" t="s">
        <v>47</v>
      </c>
      <c r="AP10" s="17">
        <v>15</v>
      </c>
      <c r="AQ10" s="17" t="s">
        <v>22</v>
      </c>
      <c r="AR10" s="16" t="s">
        <v>23</v>
      </c>
      <c r="AS10" s="16"/>
      <c r="AT10" s="16" t="s">
        <v>47</v>
      </c>
      <c r="AU10" s="17">
        <v>90</v>
      </c>
      <c r="AV10" s="17" t="s">
        <v>22</v>
      </c>
      <c r="AW10" s="16" t="s">
        <v>23</v>
      </c>
      <c r="AY10" s="16" t="s">
        <v>47</v>
      </c>
      <c r="AZ10" s="18">
        <v>90</v>
      </c>
      <c r="BA10" s="18" t="s">
        <v>25</v>
      </c>
      <c r="BB10" s="16" t="s">
        <v>24</v>
      </c>
      <c r="BO10" s="16" t="s">
        <v>44</v>
      </c>
      <c r="BP10" s="18">
        <v>15</v>
      </c>
      <c r="BQ10" s="18" t="s">
        <v>25</v>
      </c>
      <c r="BR10" s="16" t="s">
        <v>24</v>
      </c>
      <c r="BT10" s="16" t="s">
        <v>44</v>
      </c>
      <c r="BU10" s="19">
        <v>15</v>
      </c>
      <c r="BV10" s="19" t="s">
        <v>26</v>
      </c>
      <c r="BW10" s="16" t="s">
        <v>24</v>
      </c>
      <c r="BY10" s="16" t="s">
        <v>44</v>
      </c>
      <c r="BZ10" s="17">
        <v>15</v>
      </c>
      <c r="CA10" s="17" t="s">
        <v>22</v>
      </c>
      <c r="CB10" s="16" t="s">
        <v>24</v>
      </c>
      <c r="CF10" s="25" t="s">
        <v>42</v>
      </c>
      <c r="CG10" s="25" t="s">
        <v>29</v>
      </c>
      <c r="CH10" s="19">
        <v>8.5</v>
      </c>
      <c r="CI10" s="16">
        <f>CH10*0.95</f>
        <v>8.0749999999999993</v>
      </c>
      <c r="CJ10" s="15" t="s">
        <v>45</v>
      </c>
    </row>
    <row r="11" spans="1:88" x14ac:dyDescent="0.2">
      <c r="A11" s="16"/>
      <c r="B11" s="16" t="s">
        <v>46</v>
      </c>
      <c r="C11" s="16" t="s">
        <v>29</v>
      </c>
      <c r="D11" s="16">
        <v>5</v>
      </c>
      <c r="E11" s="16">
        <f t="shared" si="1"/>
        <v>4.75</v>
      </c>
      <c r="F11" s="16">
        <v>35</v>
      </c>
      <c r="G11" s="16"/>
      <c r="H11" s="16"/>
      <c r="I11" s="16"/>
      <c r="J11" s="16" t="s">
        <v>46</v>
      </c>
      <c r="K11" s="16" t="s">
        <v>29</v>
      </c>
      <c r="L11" s="16">
        <v>5</v>
      </c>
      <c r="M11" s="16">
        <f>L11*0.95</f>
        <v>4.75</v>
      </c>
      <c r="N11" s="16">
        <v>35</v>
      </c>
      <c r="O11" s="16"/>
      <c r="P11" s="16"/>
      <c r="R11" s="15" t="s">
        <v>46</v>
      </c>
      <c r="S11" s="15" t="s">
        <v>29</v>
      </c>
      <c r="T11" s="15">
        <v>5</v>
      </c>
      <c r="U11" s="15">
        <f t="shared" si="3"/>
        <v>4.75</v>
      </c>
      <c r="V11" s="26">
        <v>35</v>
      </c>
      <c r="W11" s="26"/>
      <c r="X11" s="26"/>
      <c r="Z11" s="15" t="s">
        <v>46</v>
      </c>
      <c r="AA11" s="15" t="s">
        <v>29</v>
      </c>
      <c r="AB11" s="15">
        <v>5</v>
      </c>
      <c r="AC11" s="15">
        <f t="shared" si="4"/>
        <v>4.75</v>
      </c>
      <c r="AD11" s="15">
        <v>35</v>
      </c>
      <c r="AI11" s="16" t="s">
        <v>50</v>
      </c>
      <c r="AJ11" s="17" t="s">
        <v>21</v>
      </c>
      <c r="AK11" s="17" t="s">
        <v>22</v>
      </c>
      <c r="AL11" s="16" t="s">
        <v>23</v>
      </c>
      <c r="AN11" s="16"/>
      <c r="AO11" s="16" t="s">
        <v>50</v>
      </c>
      <c r="AP11" s="20">
        <v>90</v>
      </c>
      <c r="AQ11" s="20" t="s">
        <v>25</v>
      </c>
      <c r="AR11" s="16" t="s">
        <v>24</v>
      </c>
      <c r="AS11" s="16"/>
      <c r="AT11" s="16" t="s">
        <v>50</v>
      </c>
      <c r="AU11" s="18">
        <v>90</v>
      </c>
      <c r="AV11" s="18" t="s">
        <v>25</v>
      </c>
      <c r="AW11" s="16" t="s">
        <v>24</v>
      </c>
      <c r="AY11" s="16" t="s">
        <v>50</v>
      </c>
      <c r="AZ11" s="17">
        <v>90</v>
      </c>
      <c r="BA11" s="17" t="s">
        <v>22</v>
      </c>
      <c r="BB11" s="16" t="s">
        <v>24</v>
      </c>
      <c r="BO11" s="16" t="s">
        <v>47</v>
      </c>
      <c r="BP11" s="17">
        <v>90</v>
      </c>
      <c r="BQ11" s="17" t="s">
        <v>22</v>
      </c>
      <c r="BR11" s="16" t="s">
        <v>24</v>
      </c>
      <c r="BT11" s="16" t="s">
        <v>47</v>
      </c>
      <c r="BU11" s="18">
        <v>90</v>
      </c>
      <c r="BV11" s="18" t="s">
        <v>25</v>
      </c>
      <c r="BW11" s="16" t="s">
        <v>23</v>
      </c>
      <c r="BY11" s="16" t="s">
        <v>47</v>
      </c>
      <c r="BZ11" s="18">
        <v>15</v>
      </c>
      <c r="CA11" s="18" t="s">
        <v>25</v>
      </c>
      <c r="CB11" s="16" t="s">
        <v>24</v>
      </c>
      <c r="CF11" s="15" t="s">
        <v>46</v>
      </c>
      <c r="CG11" s="15" t="s">
        <v>29</v>
      </c>
      <c r="CH11" s="15">
        <v>5</v>
      </c>
      <c r="CI11" s="15">
        <f t="shared" si="0"/>
        <v>4.75</v>
      </c>
      <c r="CJ11" s="15">
        <v>35</v>
      </c>
    </row>
    <row r="12" spans="1:88" x14ac:dyDescent="0.2">
      <c r="A12" s="16"/>
      <c r="B12" s="16" t="s">
        <v>48</v>
      </c>
      <c r="C12" s="16" t="s">
        <v>49</v>
      </c>
      <c r="D12" s="16">
        <v>6</v>
      </c>
      <c r="E12" s="16">
        <f t="shared" si="1"/>
        <v>5.6999999999999993</v>
      </c>
      <c r="F12" s="16">
        <v>35</v>
      </c>
      <c r="G12" s="16">
        <f>SUM(D7:D11)</f>
        <v>23.5</v>
      </c>
      <c r="H12" s="16"/>
      <c r="I12" s="16"/>
      <c r="J12" s="16" t="s">
        <v>48</v>
      </c>
      <c r="K12" s="16" t="s">
        <v>49</v>
      </c>
      <c r="L12" s="16">
        <v>6</v>
      </c>
      <c r="M12" s="16">
        <f t="shared" si="2"/>
        <v>5.6999999999999993</v>
      </c>
      <c r="N12" s="16">
        <v>35</v>
      </c>
      <c r="O12" s="16">
        <f>SUM(L7:L11)</f>
        <v>23.5</v>
      </c>
      <c r="P12" s="16"/>
      <c r="R12" s="15" t="s">
        <v>48</v>
      </c>
      <c r="S12" s="15" t="s">
        <v>49</v>
      </c>
      <c r="T12" s="15">
        <v>6</v>
      </c>
      <c r="U12" s="15">
        <f t="shared" si="3"/>
        <v>5.6999999999999993</v>
      </c>
      <c r="V12" s="26">
        <v>35</v>
      </c>
      <c r="W12" s="26">
        <f>SUM(T7:T11)</f>
        <v>23.5</v>
      </c>
      <c r="X12" s="26"/>
      <c r="Z12" s="15" t="s">
        <v>48</v>
      </c>
      <c r="AA12" s="15" t="s">
        <v>49</v>
      </c>
      <c r="AB12" s="15">
        <v>6</v>
      </c>
      <c r="AC12" s="15">
        <f t="shared" si="4"/>
        <v>5.6999999999999993</v>
      </c>
      <c r="AD12" s="15">
        <v>35</v>
      </c>
      <c r="AE12" s="15">
        <f>SUM(AB7:AB11)</f>
        <v>23.5</v>
      </c>
      <c r="AI12" s="16" t="s">
        <v>52</v>
      </c>
      <c r="AJ12" s="20" t="s">
        <v>21</v>
      </c>
      <c r="AK12" s="20" t="s">
        <v>25</v>
      </c>
      <c r="AL12" s="16" t="s">
        <v>23</v>
      </c>
      <c r="AN12" s="16"/>
      <c r="AO12" s="16" t="s">
        <v>52</v>
      </c>
      <c r="AP12" s="17">
        <v>15</v>
      </c>
      <c r="AQ12" s="17" t="s">
        <v>22</v>
      </c>
      <c r="AR12" s="16" t="s">
        <v>24</v>
      </c>
      <c r="AS12" s="16"/>
      <c r="AT12" s="16" t="s">
        <v>52</v>
      </c>
      <c r="AU12" s="17">
        <v>90</v>
      </c>
      <c r="AV12" s="17" t="s">
        <v>22</v>
      </c>
      <c r="AW12" s="16" t="s">
        <v>24</v>
      </c>
      <c r="AY12" s="16" t="s">
        <v>52</v>
      </c>
      <c r="AZ12" s="17">
        <v>90</v>
      </c>
      <c r="BA12" s="17" t="s">
        <v>22</v>
      </c>
      <c r="BB12" s="16" t="s">
        <v>23</v>
      </c>
      <c r="BO12" s="16" t="s">
        <v>50</v>
      </c>
      <c r="BP12" s="18">
        <v>50</v>
      </c>
      <c r="BQ12" s="18" t="s">
        <v>25</v>
      </c>
      <c r="BR12" s="16" t="s">
        <v>23</v>
      </c>
      <c r="BT12" s="16" t="s">
        <v>50</v>
      </c>
      <c r="BU12" s="18">
        <v>50</v>
      </c>
      <c r="BV12" s="18" t="s">
        <v>25</v>
      </c>
      <c r="BW12" s="16" t="s">
        <v>24</v>
      </c>
      <c r="BY12" s="16" t="s">
        <v>50</v>
      </c>
      <c r="BZ12" s="17">
        <v>90</v>
      </c>
      <c r="CA12" s="17" t="s">
        <v>22</v>
      </c>
      <c r="CB12" s="16" t="s">
        <v>23</v>
      </c>
      <c r="CF12" s="15" t="s">
        <v>48</v>
      </c>
      <c r="CG12" s="15" t="s">
        <v>49</v>
      </c>
      <c r="CH12" s="15">
        <v>6</v>
      </c>
      <c r="CI12" s="15">
        <f t="shared" si="0"/>
        <v>5.6999999999999993</v>
      </c>
      <c r="CJ12" s="15">
        <v>35</v>
      </c>
    </row>
    <row r="13" spans="1:88" x14ac:dyDescent="0.2">
      <c r="A13" s="16"/>
      <c r="B13" s="16" t="s">
        <v>51</v>
      </c>
      <c r="C13" s="16" t="s">
        <v>29</v>
      </c>
      <c r="D13" s="16">
        <v>6</v>
      </c>
      <c r="E13" s="27">
        <f t="shared" si="1"/>
        <v>5.6999999999999993</v>
      </c>
      <c r="F13" s="16">
        <v>35</v>
      </c>
      <c r="G13" s="16"/>
      <c r="H13" s="16">
        <f>SUM(D7:D13)</f>
        <v>35.5</v>
      </c>
      <c r="I13" s="16"/>
      <c r="J13" s="16" t="s">
        <v>51</v>
      </c>
      <c r="K13" s="16" t="s">
        <v>29</v>
      </c>
      <c r="L13" s="16">
        <v>5</v>
      </c>
      <c r="M13" s="27">
        <f t="shared" si="2"/>
        <v>4.75</v>
      </c>
      <c r="N13" s="16">
        <v>35</v>
      </c>
      <c r="O13" s="16"/>
      <c r="P13" s="16"/>
      <c r="R13" s="15" t="s">
        <v>51</v>
      </c>
      <c r="S13" s="15" t="s">
        <v>29</v>
      </c>
      <c r="T13" s="15">
        <v>6</v>
      </c>
      <c r="U13" s="28">
        <f t="shared" si="3"/>
        <v>5.6999999999999993</v>
      </c>
      <c r="V13" s="26">
        <v>35</v>
      </c>
      <c r="W13" s="26"/>
      <c r="X13" s="26"/>
      <c r="Z13" s="15" t="s">
        <v>51</v>
      </c>
      <c r="AA13" s="15" t="s">
        <v>29</v>
      </c>
      <c r="AB13" s="15">
        <v>6</v>
      </c>
      <c r="AC13" s="28">
        <f t="shared" si="4"/>
        <v>5.6999999999999993</v>
      </c>
      <c r="AD13" s="15">
        <v>35</v>
      </c>
      <c r="AI13" s="16" t="s">
        <v>54</v>
      </c>
      <c r="AJ13" s="20" t="s">
        <v>21</v>
      </c>
      <c r="AK13" s="20" t="s">
        <v>25</v>
      </c>
      <c r="AL13" s="16" t="s">
        <v>24</v>
      </c>
      <c r="AN13" s="16"/>
      <c r="AO13" s="16" t="s">
        <v>54</v>
      </c>
      <c r="AP13" s="20">
        <v>90</v>
      </c>
      <c r="AQ13" s="20" t="s">
        <v>25</v>
      </c>
      <c r="AR13" s="16" t="s">
        <v>23</v>
      </c>
      <c r="AS13" s="16"/>
      <c r="AT13" s="16" t="s">
        <v>54</v>
      </c>
      <c r="AU13" s="18">
        <v>15</v>
      </c>
      <c r="AV13" s="18" t="s">
        <v>25</v>
      </c>
      <c r="AW13" s="16" t="s">
        <v>23</v>
      </c>
      <c r="AY13" s="16" t="s">
        <v>54</v>
      </c>
      <c r="AZ13" s="18">
        <v>15</v>
      </c>
      <c r="BA13" s="18" t="s">
        <v>25</v>
      </c>
      <c r="BB13" s="16" t="s">
        <v>23</v>
      </c>
      <c r="BO13" s="16" t="s">
        <v>52</v>
      </c>
      <c r="BP13" s="19">
        <v>15</v>
      </c>
      <c r="BQ13" s="19" t="s">
        <v>26</v>
      </c>
      <c r="BR13" s="16" t="s">
        <v>23</v>
      </c>
      <c r="BT13" s="16" t="s">
        <v>52</v>
      </c>
      <c r="BU13" s="17">
        <v>90</v>
      </c>
      <c r="BV13" s="17" t="s">
        <v>22</v>
      </c>
      <c r="BW13" s="16" t="s">
        <v>24</v>
      </c>
      <c r="BY13" s="16" t="s">
        <v>52</v>
      </c>
      <c r="BZ13" s="18">
        <v>50</v>
      </c>
      <c r="CA13" s="18" t="s">
        <v>25</v>
      </c>
      <c r="CB13" s="16" t="s">
        <v>23</v>
      </c>
      <c r="CF13" s="15" t="s">
        <v>51</v>
      </c>
      <c r="CG13" s="15" t="s">
        <v>29</v>
      </c>
      <c r="CH13" s="15">
        <v>6</v>
      </c>
      <c r="CI13" s="28">
        <f t="shared" si="0"/>
        <v>5.6999999999999993</v>
      </c>
      <c r="CJ13" s="15">
        <v>35</v>
      </c>
    </row>
    <row r="14" spans="1:88" x14ac:dyDescent="0.2">
      <c r="A14" s="16" t="s">
        <v>53</v>
      </c>
      <c r="B14" s="16"/>
      <c r="C14" s="16"/>
      <c r="D14" s="16">
        <v>1</v>
      </c>
      <c r="E14" s="16">
        <v>0.95</v>
      </c>
      <c r="F14" s="16"/>
      <c r="G14" s="16"/>
      <c r="H14" s="16"/>
      <c r="I14" s="16" t="s">
        <v>53</v>
      </c>
      <c r="J14" s="16"/>
      <c r="K14" s="16"/>
      <c r="L14" s="16">
        <v>1</v>
      </c>
      <c r="M14" s="16">
        <v>0.95</v>
      </c>
      <c r="N14" s="16"/>
      <c r="O14" s="16"/>
      <c r="P14" s="16"/>
      <c r="Q14" s="15" t="s">
        <v>53</v>
      </c>
      <c r="T14" s="15">
        <v>1</v>
      </c>
      <c r="U14" s="15">
        <v>0.95</v>
      </c>
      <c r="V14" s="26"/>
      <c r="W14" s="26"/>
      <c r="X14" s="26"/>
      <c r="Y14" s="15" t="s">
        <v>53</v>
      </c>
      <c r="AB14" s="15">
        <v>1</v>
      </c>
      <c r="AC14" s="15">
        <v>0.95</v>
      </c>
      <c r="AI14" s="16" t="s">
        <v>55</v>
      </c>
      <c r="AJ14" s="17" t="s">
        <v>21</v>
      </c>
      <c r="AK14" s="17" t="s">
        <v>22</v>
      </c>
      <c r="AL14" s="16" t="s">
        <v>24</v>
      </c>
      <c r="AN14" s="16"/>
      <c r="AO14" s="16" t="s">
        <v>55</v>
      </c>
      <c r="AP14" s="17">
        <v>15</v>
      </c>
      <c r="AQ14" s="17" t="s">
        <v>22</v>
      </c>
      <c r="AR14" s="16" t="s">
        <v>23</v>
      </c>
      <c r="AS14" s="16"/>
      <c r="AT14" s="16" t="s">
        <v>55</v>
      </c>
      <c r="AU14" s="17">
        <v>15</v>
      </c>
      <c r="AV14" s="17" t="s">
        <v>22</v>
      </c>
      <c r="AW14" s="16" t="s">
        <v>24</v>
      </c>
      <c r="AY14" s="16" t="s">
        <v>55</v>
      </c>
      <c r="AZ14" s="18">
        <v>90</v>
      </c>
      <c r="BA14" s="18" t="s">
        <v>25</v>
      </c>
      <c r="BB14" s="16" t="s">
        <v>23</v>
      </c>
      <c r="BO14" s="16" t="s">
        <v>54</v>
      </c>
      <c r="BP14" s="18">
        <v>15</v>
      </c>
      <c r="BQ14" s="18" t="s">
        <v>25</v>
      </c>
      <c r="BR14" s="16" t="s">
        <v>23</v>
      </c>
      <c r="BT14" s="16" t="s">
        <v>54</v>
      </c>
      <c r="BU14" s="19">
        <v>90</v>
      </c>
      <c r="BV14" s="19" t="s">
        <v>26</v>
      </c>
      <c r="BW14" s="16" t="s">
        <v>23</v>
      </c>
      <c r="BY14" s="16" t="s">
        <v>54</v>
      </c>
      <c r="BZ14" s="17">
        <v>90</v>
      </c>
      <c r="CA14" s="17" t="s">
        <v>22</v>
      </c>
      <c r="CB14" s="16" t="s">
        <v>24</v>
      </c>
      <c r="CE14" s="15" t="s">
        <v>53</v>
      </c>
      <c r="CF14" s="15" t="s">
        <v>33</v>
      </c>
      <c r="CG14" s="15" t="s">
        <v>29</v>
      </c>
      <c r="CH14" s="15">
        <v>1</v>
      </c>
      <c r="CI14" s="15">
        <f t="shared" si="0"/>
        <v>0.95</v>
      </c>
      <c r="CJ14" s="15">
        <v>35</v>
      </c>
    </row>
    <row r="15" spans="1:88" x14ac:dyDescent="0.2">
      <c r="A15" s="16" t="s">
        <v>34</v>
      </c>
      <c r="B15" s="16" t="s">
        <v>35</v>
      </c>
      <c r="C15" s="7" t="s">
        <v>36</v>
      </c>
      <c r="D15" s="16">
        <v>5</v>
      </c>
      <c r="E15" s="16">
        <f t="shared" si="1"/>
        <v>4.75</v>
      </c>
      <c r="F15" s="16">
        <v>35</v>
      </c>
      <c r="G15" s="16"/>
      <c r="H15" s="16"/>
      <c r="I15" s="16" t="s">
        <v>37</v>
      </c>
      <c r="J15" s="16" t="s">
        <v>35</v>
      </c>
      <c r="K15" s="22">
        <v>0.9</v>
      </c>
      <c r="L15" s="16">
        <v>5</v>
      </c>
      <c r="M15" s="16">
        <f>L15*0.95</f>
        <v>4.75</v>
      </c>
      <c r="N15" s="16">
        <v>35</v>
      </c>
      <c r="O15" s="16"/>
      <c r="P15" s="16"/>
      <c r="Q15" s="15" t="s">
        <v>37</v>
      </c>
      <c r="R15" s="15" t="s">
        <v>35</v>
      </c>
      <c r="S15" s="23">
        <v>0.12</v>
      </c>
      <c r="T15" s="15">
        <v>5</v>
      </c>
      <c r="U15" s="15">
        <f>T15*0.95</f>
        <v>4.75</v>
      </c>
      <c r="V15" s="26">
        <v>35</v>
      </c>
      <c r="W15" s="26"/>
      <c r="X15" s="26"/>
      <c r="Y15" s="15" t="s">
        <v>34</v>
      </c>
      <c r="Z15" s="15" t="s">
        <v>35</v>
      </c>
      <c r="AA15" s="23">
        <v>0.99</v>
      </c>
      <c r="AB15" s="15">
        <v>5</v>
      </c>
      <c r="AC15" s="15">
        <f>AB15*0.95</f>
        <v>4.75</v>
      </c>
      <c r="AD15" s="15">
        <v>35</v>
      </c>
      <c r="AI15" s="29"/>
      <c r="AJ15" s="16"/>
      <c r="AK15" s="16"/>
      <c r="AL15" s="16"/>
      <c r="AM15" s="4"/>
      <c r="AN15" s="4"/>
      <c r="AO15" s="4"/>
      <c r="AP15" s="16"/>
      <c r="AQ15" s="16"/>
      <c r="AR15" s="16"/>
      <c r="AS15" s="16"/>
      <c r="AT15" s="16" t="s">
        <v>56</v>
      </c>
      <c r="AU15" s="18">
        <v>15</v>
      </c>
      <c r="AV15" s="18" t="s">
        <v>25</v>
      </c>
      <c r="AW15" s="16" t="s">
        <v>24</v>
      </c>
      <c r="AY15" s="16" t="s">
        <v>56</v>
      </c>
      <c r="AZ15" s="17">
        <v>90</v>
      </c>
      <c r="BA15" s="17" t="s">
        <v>22</v>
      </c>
      <c r="BB15" s="16" t="s">
        <v>23</v>
      </c>
      <c r="BO15" s="16" t="s">
        <v>55</v>
      </c>
      <c r="BP15" s="17">
        <v>50</v>
      </c>
      <c r="BQ15" s="17" t="s">
        <v>22</v>
      </c>
      <c r="BR15" s="16" t="s">
        <v>24</v>
      </c>
      <c r="BT15" s="16" t="s">
        <v>55</v>
      </c>
      <c r="BU15" s="18">
        <v>15</v>
      </c>
      <c r="BV15" s="18" t="s">
        <v>25</v>
      </c>
      <c r="BW15" s="16" t="s">
        <v>23</v>
      </c>
      <c r="BY15" s="16" t="s">
        <v>55</v>
      </c>
      <c r="BZ15" s="19">
        <v>15</v>
      </c>
      <c r="CA15" s="19" t="s">
        <v>26</v>
      </c>
      <c r="CB15" s="16" t="s">
        <v>23</v>
      </c>
      <c r="CF15" s="15" t="s">
        <v>35</v>
      </c>
      <c r="CG15" s="23">
        <v>0.1</v>
      </c>
      <c r="CH15" s="15">
        <v>5</v>
      </c>
      <c r="CI15" s="15">
        <f>CH15*0.95</f>
        <v>4.75</v>
      </c>
      <c r="CJ15" s="15">
        <v>35</v>
      </c>
    </row>
    <row r="16" spans="1:88" x14ac:dyDescent="0.2">
      <c r="A16" s="16"/>
      <c r="B16" s="16" t="s">
        <v>40</v>
      </c>
      <c r="C16" s="16" t="s">
        <v>29</v>
      </c>
      <c r="D16" s="16">
        <v>4</v>
      </c>
      <c r="E16" s="16">
        <f t="shared" si="1"/>
        <v>3.8</v>
      </c>
      <c r="F16" s="16">
        <v>35</v>
      </c>
      <c r="G16" s="16"/>
      <c r="H16" s="16"/>
      <c r="I16" s="16"/>
      <c r="J16" s="16" t="s">
        <v>40</v>
      </c>
      <c r="K16" s="16" t="s">
        <v>29</v>
      </c>
      <c r="L16" s="16">
        <v>4</v>
      </c>
      <c r="M16" s="16">
        <f t="shared" si="2"/>
        <v>3.8</v>
      </c>
      <c r="N16" s="16">
        <v>35</v>
      </c>
      <c r="O16" s="16"/>
      <c r="P16" s="16"/>
      <c r="R16" s="15" t="s">
        <v>40</v>
      </c>
      <c r="S16" s="15" t="s">
        <v>29</v>
      </c>
      <c r="T16" s="15">
        <v>4</v>
      </c>
      <c r="U16" s="15">
        <f>T16*0.95</f>
        <v>3.8</v>
      </c>
      <c r="V16" s="26">
        <v>35</v>
      </c>
      <c r="W16" s="26"/>
      <c r="X16" s="26"/>
      <c r="Z16" s="15" t="s">
        <v>40</v>
      </c>
      <c r="AA16" s="15" t="s">
        <v>29</v>
      </c>
      <c r="AB16" s="15">
        <v>4</v>
      </c>
      <c r="AC16" s="15">
        <f>AB16*0.95</f>
        <v>3.8</v>
      </c>
      <c r="AD16" s="15">
        <v>35</v>
      </c>
      <c r="AI16" s="30" t="s">
        <v>58</v>
      </c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 t="s">
        <v>59</v>
      </c>
      <c r="AU16" s="17">
        <v>90</v>
      </c>
      <c r="AV16" s="17" t="s">
        <v>22</v>
      </c>
      <c r="AW16" s="16" t="s">
        <v>24</v>
      </c>
      <c r="AY16" s="16" t="s">
        <v>59</v>
      </c>
      <c r="AZ16" s="18">
        <v>15</v>
      </c>
      <c r="BA16" s="18" t="s">
        <v>25</v>
      </c>
      <c r="BB16" s="16" t="s">
        <v>24</v>
      </c>
      <c r="BO16" s="16" t="s">
        <v>56</v>
      </c>
      <c r="BP16" s="17">
        <v>15</v>
      </c>
      <c r="BQ16" s="17" t="s">
        <v>22</v>
      </c>
      <c r="BR16" s="16" t="s">
        <v>23</v>
      </c>
      <c r="BT16" s="16" t="s">
        <v>56</v>
      </c>
      <c r="BU16" s="17">
        <v>50</v>
      </c>
      <c r="BV16" s="17" t="s">
        <v>22</v>
      </c>
      <c r="BW16" s="16" t="s">
        <v>24</v>
      </c>
      <c r="BY16" s="16" t="s">
        <v>56</v>
      </c>
      <c r="BZ16" s="17">
        <v>50</v>
      </c>
      <c r="CA16" s="17" t="s">
        <v>22</v>
      </c>
      <c r="CB16" s="16" t="s">
        <v>23</v>
      </c>
      <c r="CF16" s="15" t="s">
        <v>40</v>
      </c>
      <c r="CG16" s="15" t="s">
        <v>29</v>
      </c>
      <c r="CH16" s="15">
        <v>2</v>
      </c>
      <c r="CI16" s="15">
        <f>CH16*0.95</f>
        <v>1.9</v>
      </c>
      <c r="CJ16" s="15">
        <v>35</v>
      </c>
    </row>
    <row r="17" spans="1:88" x14ac:dyDescent="0.2">
      <c r="A17" s="16"/>
      <c r="B17" s="19" t="s">
        <v>42</v>
      </c>
      <c r="C17" s="19" t="s">
        <v>29</v>
      </c>
      <c r="D17" s="19">
        <v>8.5</v>
      </c>
      <c r="E17" s="16">
        <v>8.0749999999999993</v>
      </c>
      <c r="F17" s="24">
        <v>47</v>
      </c>
      <c r="G17" s="16"/>
      <c r="H17" s="16"/>
      <c r="I17" s="16"/>
      <c r="J17" s="19" t="s">
        <v>42</v>
      </c>
      <c r="K17" s="19" t="s">
        <v>29</v>
      </c>
      <c r="L17" s="19">
        <v>8.5</v>
      </c>
      <c r="M17" s="16">
        <f>L17*0.95</f>
        <v>8.0749999999999993</v>
      </c>
      <c r="N17" s="24">
        <v>47</v>
      </c>
      <c r="O17" s="16"/>
      <c r="P17" s="16"/>
      <c r="R17" s="25" t="s">
        <v>42</v>
      </c>
      <c r="S17" s="25" t="s">
        <v>29</v>
      </c>
      <c r="T17" s="19">
        <v>8.5</v>
      </c>
      <c r="U17" s="16">
        <f>T17*0.95</f>
        <v>8.0749999999999993</v>
      </c>
      <c r="V17" s="19" t="s">
        <v>57</v>
      </c>
      <c r="W17" s="21"/>
      <c r="X17" s="21"/>
      <c r="Z17" s="25" t="s">
        <v>42</v>
      </c>
      <c r="AA17" s="25" t="s">
        <v>29</v>
      </c>
      <c r="AB17" s="19">
        <v>8.5</v>
      </c>
      <c r="AC17" s="16">
        <f>AB17*0.95</f>
        <v>8.0749999999999993</v>
      </c>
      <c r="AD17" s="25" t="s">
        <v>57</v>
      </c>
      <c r="AI17" s="29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 t="s">
        <v>61</v>
      </c>
      <c r="AU17" s="17">
        <v>15</v>
      </c>
      <c r="AV17" s="17" t="s">
        <v>22</v>
      </c>
      <c r="AW17" s="16" t="s">
        <v>23</v>
      </c>
      <c r="AY17" s="16" t="s">
        <v>61</v>
      </c>
      <c r="AZ17" s="18">
        <v>15</v>
      </c>
      <c r="BA17" s="18" t="s">
        <v>25</v>
      </c>
      <c r="BB17" s="16" t="s">
        <v>23</v>
      </c>
      <c r="BO17" s="16" t="s">
        <v>59</v>
      </c>
      <c r="BP17" s="19">
        <v>90</v>
      </c>
      <c r="BQ17" s="19" t="s">
        <v>26</v>
      </c>
      <c r="BR17" s="16" t="s">
        <v>24</v>
      </c>
      <c r="BT17" s="16" t="s">
        <v>59</v>
      </c>
      <c r="BU17" s="19">
        <v>15</v>
      </c>
      <c r="BV17" s="19" t="s">
        <v>26</v>
      </c>
      <c r="BW17" s="16" t="s">
        <v>23</v>
      </c>
      <c r="BY17" s="16" t="s">
        <v>59</v>
      </c>
      <c r="BZ17" s="18">
        <v>90</v>
      </c>
      <c r="CA17" s="18" t="s">
        <v>25</v>
      </c>
      <c r="CB17" s="16" t="s">
        <v>24</v>
      </c>
      <c r="CF17" s="25" t="s">
        <v>42</v>
      </c>
      <c r="CG17" s="25" t="s">
        <v>29</v>
      </c>
      <c r="CH17" s="19">
        <v>8.5</v>
      </c>
      <c r="CI17" s="16">
        <f>CH17*0.95</f>
        <v>8.0749999999999993</v>
      </c>
      <c r="CJ17" s="15" t="s">
        <v>60</v>
      </c>
    </row>
    <row r="18" spans="1:88" x14ac:dyDescent="0.2">
      <c r="A18" s="16"/>
      <c r="B18" s="16" t="s">
        <v>46</v>
      </c>
      <c r="C18" s="16" t="s">
        <v>29</v>
      </c>
      <c r="D18" s="16">
        <v>5</v>
      </c>
      <c r="E18" s="16">
        <f t="shared" si="1"/>
        <v>4.75</v>
      </c>
      <c r="F18" s="16">
        <v>35</v>
      </c>
      <c r="G18" s="16"/>
      <c r="H18" s="16"/>
      <c r="I18" s="16"/>
      <c r="J18" s="16" t="s">
        <v>46</v>
      </c>
      <c r="K18" s="16" t="s">
        <v>29</v>
      </c>
      <c r="L18" s="16">
        <v>5</v>
      </c>
      <c r="M18" s="16">
        <f t="shared" si="2"/>
        <v>4.75</v>
      </c>
      <c r="N18" s="16">
        <v>35</v>
      </c>
      <c r="O18" s="16"/>
      <c r="P18" s="16"/>
      <c r="R18" s="15" t="s">
        <v>46</v>
      </c>
      <c r="S18" s="15" t="s">
        <v>29</v>
      </c>
      <c r="T18" s="15">
        <v>5</v>
      </c>
      <c r="U18" s="15">
        <f t="shared" si="3"/>
        <v>4.75</v>
      </c>
      <c r="V18" s="26">
        <v>35</v>
      </c>
      <c r="W18" s="26"/>
      <c r="X18" s="26"/>
      <c r="Z18" s="15" t="s">
        <v>46</v>
      </c>
      <c r="AA18" s="15" t="s">
        <v>29</v>
      </c>
      <c r="AB18" s="15">
        <v>5</v>
      </c>
      <c r="AC18" s="15">
        <f t="shared" si="4"/>
        <v>4.75</v>
      </c>
      <c r="AD18" s="15">
        <v>35</v>
      </c>
      <c r="AI18" s="29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 t="s">
        <v>62</v>
      </c>
      <c r="AU18" s="18">
        <v>15</v>
      </c>
      <c r="AV18" s="18" t="s">
        <v>25</v>
      </c>
      <c r="AW18" s="16" t="s">
        <v>23</v>
      </c>
      <c r="AY18" s="16" t="s">
        <v>62</v>
      </c>
      <c r="AZ18" s="17">
        <v>90</v>
      </c>
      <c r="BA18" s="17" t="s">
        <v>22</v>
      </c>
      <c r="BB18" s="16" t="s">
        <v>24</v>
      </c>
      <c r="CF18" s="15" t="s">
        <v>46</v>
      </c>
      <c r="CG18" s="15" t="s">
        <v>29</v>
      </c>
      <c r="CH18" s="15">
        <v>5</v>
      </c>
      <c r="CI18" s="15">
        <f t="shared" si="0"/>
        <v>4.75</v>
      </c>
      <c r="CJ18" s="15">
        <v>35</v>
      </c>
    </row>
    <row r="19" spans="1:88" x14ac:dyDescent="0.2">
      <c r="A19" s="16"/>
      <c r="B19" s="16" t="s">
        <v>48</v>
      </c>
      <c r="C19" s="16" t="s">
        <v>49</v>
      </c>
      <c r="D19" s="16">
        <v>6</v>
      </c>
      <c r="E19" s="16">
        <f t="shared" si="1"/>
        <v>5.6999999999999993</v>
      </c>
      <c r="F19" s="16">
        <v>35</v>
      </c>
      <c r="G19" s="16">
        <f>SUM(D7:D18)</f>
        <v>59</v>
      </c>
      <c r="H19" s="16"/>
      <c r="I19" s="16"/>
      <c r="J19" s="16" t="s">
        <v>48</v>
      </c>
      <c r="K19" s="16" t="s">
        <v>49</v>
      </c>
      <c r="L19" s="16">
        <v>6</v>
      </c>
      <c r="M19" s="16">
        <f t="shared" si="2"/>
        <v>5.6999999999999993</v>
      </c>
      <c r="N19" s="16">
        <v>35</v>
      </c>
      <c r="O19" s="16">
        <f>SUM(L7:L18)</f>
        <v>58</v>
      </c>
      <c r="P19" s="16"/>
      <c r="R19" s="15" t="s">
        <v>48</v>
      </c>
      <c r="S19" s="15" t="s">
        <v>49</v>
      </c>
      <c r="T19" s="15">
        <v>6</v>
      </c>
      <c r="U19" s="15">
        <f t="shared" si="3"/>
        <v>5.6999999999999993</v>
      </c>
      <c r="V19" s="26">
        <v>35</v>
      </c>
      <c r="W19" s="26">
        <f>SUM(T7:T18)</f>
        <v>59</v>
      </c>
      <c r="X19" s="26"/>
      <c r="Z19" s="15" t="s">
        <v>48</v>
      </c>
      <c r="AA19" s="15" t="s">
        <v>49</v>
      </c>
      <c r="AB19" s="15">
        <v>6</v>
      </c>
      <c r="AC19" s="15">
        <f t="shared" si="4"/>
        <v>5.6999999999999993</v>
      </c>
      <c r="AD19" s="15">
        <v>35</v>
      </c>
      <c r="AE19" s="15">
        <f>SUM(AB7:AB18)</f>
        <v>59</v>
      </c>
      <c r="AI19" s="29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CF19" s="15" t="s">
        <v>48</v>
      </c>
      <c r="CG19" s="15" t="s">
        <v>49</v>
      </c>
      <c r="CH19" s="15">
        <v>6</v>
      </c>
      <c r="CI19" s="15">
        <f t="shared" si="0"/>
        <v>5.6999999999999993</v>
      </c>
      <c r="CJ19" s="15">
        <v>35</v>
      </c>
    </row>
    <row r="20" spans="1:88" x14ac:dyDescent="0.2">
      <c r="A20" s="16"/>
      <c r="B20" s="16" t="s">
        <v>51</v>
      </c>
      <c r="C20" s="16" t="s">
        <v>29</v>
      </c>
      <c r="D20" s="16">
        <v>5</v>
      </c>
      <c r="E20" s="31">
        <f t="shared" si="1"/>
        <v>4.75</v>
      </c>
      <c r="F20" s="16">
        <v>35</v>
      </c>
      <c r="G20" s="16"/>
      <c r="H20" s="16"/>
      <c r="I20" s="16"/>
      <c r="J20" s="16" t="s">
        <v>63</v>
      </c>
      <c r="K20" s="16" t="s">
        <v>29</v>
      </c>
      <c r="L20" s="16">
        <v>4</v>
      </c>
      <c r="M20" s="31">
        <f t="shared" si="2"/>
        <v>3.8</v>
      </c>
      <c r="N20" s="16">
        <v>35</v>
      </c>
      <c r="O20" s="16"/>
      <c r="P20" s="16"/>
      <c r="R20" s="15" t="s">
        <v>51</v>
      </c>
      <c r="S20" s="15" t="s">
        <v>29</v>
      </c>
      <c r="T20" s="15">
        <v>5</v>
      </c>
      <c r="U20" s="28">
        <f t="shared" si="3"/>
        <v>4.75</v>
      </c>
      <c r="V20" s="26">
        <v>35</v>
      </c>
      <c r="W20" s="26"/>
      <c r="X20" s="26"/>
      <c r="Z20" s="15" t="s">
        <v>51</v>
      </c>
      <c r="AA20" s="15" t="s">
        <v>29</v>
      </c>
      <c r="AB20" s="15">
        <v>5</v>
      </c>
      <c r="AC20" s="28">
        <f t="shared" si="4"/>
        <v>4.75</v>
      </c>
      <c r="AD20" s="15">
        <v>35</v>
      </c>
      <c r="AN20" s="30"/>
      <c r="AO20" s="16"/>
      <c r="AP20" s="16"/>
      <c r="AQ20" s="16"/>
      <c r="AR20" s="16"/>
      <c r="AS20" s="16"/>
      <c r="AT20" s="16"/>
      <c r="AU20" s="16"/>
      <c r="AV20" s="16"/>
      <c r="AW20" s="16"/>
      <c r="AX20" s="16"/>
      <c r="CF20" s="15" t="s">
        <v>51</v>
      </c>
      <c r="CG20" s="15" t="s">
        <v>29</v>
      </c>
      <c r="CH20" s="15">
        <v>5</v>
      </c>
      <c r="CI20" s="28">
        <f t="shared" si="0"/>
        <v>4.75</v>
      </c>
      <c r="CJ20" s="15">
        <v>35</v>
      </c>
    </row>
    <row r="21" spans="1:88" x14ac:dyDescent="0.2">
      <c r="A21" s="16" t="s">
        <v>64</v>
      </c>
      <c r="B21" s="16"/>
      <c r="C21" s="16"/>
      <c r="D21" s="16">
        <v>1</v>
      </c>
      <c r="E21" s="16">
        <v>0.95</v>
      </c>
      <c r="F21" s="16"/>
      <c r="G21" s="16"/>
      <c r="H21" s="16"/>
      <c r="I21" s="16" t="s">
        <v>64</v>
      </c>
      <c r="J21" s="16"/>
      <c r="K21" s="16"/>
      <c r="L21" s="16">
        <v>1</v>
      </c>
      <c r="M21" s="16">
        <v>0.95</v>
      </c>
      <c r="N21" s="16"/>
      <c r="O21" s="16"/>
      <c r="P21" s="16"/>
      <c r="Q21" s="15" t="s">
        <v>64</v>
      </c>
      <c r="T21" s="15">
        <v>1</v>
      </c>
      <c r="U21" s="15">
        <v>0.95</v>
      </c>
      <c r="V21" s="26"/>
      <c r="W21" s="26"/>
      <c r="X21" s="26"/>
      <c r="Y21" s="15" t="s">
        <v>64</v>
      </c>
      <c r="AB21" s="15">
        <v>1</v>
      </c>
      <c r="AC21" s="15">
        <v>0.95</v>
      </c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CE21" s="15" t="s">
        <v>64</v>
      </c>
      <c r="CF21" s="15" t="s">
        <v>33</v>
      </c>
      <c r="CG21" s="15" t="s">
        <v>29</v>
      </c>
      <c r="CH21" s="15">
        <v>1</v>
      </c>
      <c r="CI21" s="15">
        <f t="shared" si="0"/>
        <v>0.95</v>
      </c>
      <c r="CJ21" s="15">
        <v>35</v>
      </c>
    </row>
    <row r="22" spans="1:88" x14ac:dyDescent="0.2">
      <c r="A22" s="16" t="s">
        <v>37</v>
      </c>
      <c r="B22" s="16" t="s">
        <v>35</v>
      </c>
      <c r="C22" s="7" t="s">
        <v>36</v>
      </c>
      <c r="D22" s="16">
        <v>5</v>
      </c>
      <c r="E22" s="16">
        <f t="shared" si="1"/>
        <v>4.75</v>
      </c>
      <c r="F22" s="16">
        <v>35</v>
      </c>
      <c r="G22" s="16"/>
      <c r="H22" s="16"/>
      <c r="I22" s="16" t="s">
        <v>34</v>
      </c>
      <c r="J22" s="16" t="s">
        <v>35</v>
      </c>
      <c r="K22" s="22">
        <v>0.9</v>
      </c>
      <c r="L22" s="16">
        <v>5</v>
      </c>
      <c r="M22" s="16">
        <f t="shared" si="2"/>
        <v>4.75</v>
      </c>
      <c r="N22" s="16">
        <v>35</v>
      </c>
      <c r="O22" s="16"/>
      <c r="P22" s="16"/>
      <c r="Q22" s="15" t="s">
        <v>37</v>
      </c>
      <c r="R22" s="15" t="s">
        <v>35</v>
      </c>
      <c r="S22" s="23">
        <v>0.83</v>
      </c>
      <c r="T22" s="15">
        <v>5</v>
      </c>
      <c r="U22" s="15">
        <f t="shared" si="3"/>
        <v>4.75</v>
      </c>
      <c r="V22" s="26">
        <v>35</v>
      </c>
      <c r="W22" s="26"/>
      <c r="X22" s="26"/>
      <c r="Y22" s="15" t="s">
        <v>34</v>
      </c>
      <c r="Z22" s="15" t="s">
        <v>35</v>
      </c>
      <c r="AA22" s="23">
        <v>0.11</v>
      </c>
      <c r="AB22" s="15">
        <v>5</v>
      </c>
      <c r="AC22" s="15">
        <f t="shared" si="4"/>
        <v>4.75</v>
      </c>
      <c r="AD22" s="15">
        <v>35</v>
      </c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AX22" s="16"/>
      <c r="CF22" s="15" t="s">
        <v>35</v>
      </c>
      <c r="CG22" s="23">
        <v>0.9</v>
      </c>
      <c r="CH22" s="15">
        <v>5</v>
      </c>
      <c r="CI22" s="15">
        <f t="shared" si="0"/>
        <v>4.75</v>
      </c>
      <c r="CJ22" s="15">
        <v>35</v>
      </c>
    </row>
    <row r="23" spans="1:88" x14ac:dyDescent="0.2">
      <c r="A23" s="16"/>
      <c r="B23" s="16" t="s">
        <v>40</v>
      </c>
      <c r="C23" s="16" t="s">
        <v>29</v>
      </c>
      <c r="D23" s="16">
        <v>4</v>
      </c>
      <c r="E23" s="16">
        <f t="shared" si="1"/>
        <v>3.8</v>
      </c>
      <c r="F23" s="16">
        <v>35</v>
      </c>
      <c r="G23" s="16"/>
      <c r="H23" s="16"/>
      <c r="I23" s="16"/>
      <c r="J23" s="16" t="s">
        <v>40</v>
      </c>
      <c r="K23" s="16" t="s">
        <v>29</v>
      </c>
      <c r="L23" s="16">
        <v>4</v>
      </c>
      <c r="M23" s="16">
        <f t="shared" si="2"/>
        <v>3.8</v>
      </c>
      <c r="N23" s="16">
        <v>35</v>
      </c>
      <c r="O23" s="16"/>
      <c r="P23" s="16"/>
      <c r="R23" s="15" t="s">
        <v>40</v>
      </c>
      <c r="S23" s="15" t="s">
        <v>29</v>
      </c>
      <c r="T23" s="15">
        <v>4</v>
      </c>
      <c r="U23" s="15">
        <f t="shared" si="3"/>
        <v>3.8</v>
      </c>
      <c r="V23" s="26">
        <v>35</v>
      </c>
      <c r="W23" s="26"/>
      <c r="X23" s="26"/>
      <c r="Z23" s="15" t="s">
        <v>40</v>
      </c>
      <c r="AA23" s="15" t="s">
        <v>29</v>
      </c>
      <c r="AB23" s="15">
        <v>4</v>
      </c>
      <c r="AC23" s="15">
        <f t="shared" si="4"/>
        <v>3.8</v>
      </c>
      <c r="AD23" s="15">
        <v>35</v>
      </c>
      <c r="AN23" s="16"/>
      <c r="AO23" s="16"/>
      <c r="AP23" s="16"/>
      <c r="AR23" s="16"/>
      <c r="AS23" s="16"/>
      <c r="AT23" s="16"/>
      <c r="AU23" s="16"/>
      <c r="AV23" s="16"/>
      <c r="AX23" s="16"/>
      <c r="CF23" s="15" t="s">
        <v>40</v>
      </c>
      <c r="CG23" s="15" t="s">
        <v>29</v>
      </c>
      <c r="CH23" s="15">
        <v>2</v>
      </c>
      <c r="CI23" s="15">
        <f t="shared" si="0"/>
        <v>1.9</v>
      </c>
      <c r="CJ23" s="15">
        <v>35</v>
      </c>
    </row>
    <row r="24" spans="1:88" x14ac:dyDescent="0.2">
      <c r="A24" s="16"/>
      <c r="B24" s="19" t="s">
        <v>42</v>
      </c>
      <c r="C24" s="19" t="s">
        <v>29</v>
      </c>
      <c r="D24" s="19">
        <v>8.5</v>
      </c>
      <c r="E24" s="16">
        <f>D24*0.95</f>
        <v>8.0749999999999993</v>
      </c>
      <c r="F24" s="24">
        <v>47</v>
      </c>
      <c r="G24" s="16"/>
      <c r="H24" s="16"/>
      <c r="I24" s="16"/>
      <c r="J24" s="19" t="s">
        <v>42</v>
      </c>
      <c r="K24" s="19" t="s">
        <v>29</v>
      </c>
      <c r="L24" s="19">
        <v>8.5</v>
      </c>
      <c r="M24" s="16">
        <f>L24*0.95</f>
        <v>8.0749999999999993</v>
      </c>
      <c r="N24" s="24">
        <v>0</v>
      </c>
      <c r="O24" s="16"/>
      <c r="P24" s="16"/>
      <c r="R24" s="25" t="s">
        <v>42</v>
      </c>
      <c r="S24" s="25" t="s">
        <v>29</v>
      </c>
      <c r="T24" s="19">
        <v>8.5</v>
      </c>
      <c r="U24" s="16">
        <f>T24*0.95</f>
        <v>8.0749999999999993</v>
      </c>
      <c r="V24" s="19" t="s">
        <v>43</v>
      </c>
      <c r="W24" s="21"/>
      <c r="X24" s="21"/>
      <c r="Z24" s="25" t="s">
        <v>42</v>
      </c>
      <c r="AA24" s="25" t="s">
        <v>29</v>
      </c>
      <c r="AB24" s="19">
        <v>8.5</v>
      </c>
      <c r="AC24" s="16">
        <f>AB24*0.95</f>
        <v>8.0749999999999993</v>
      </c>
      <c r="AD24" s="25" t="s">
        <v>43</v>
      </c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CF24" s="25" t="s">
        <v>42</v>
      </c>
      <c r="CG24" s="25" t="s">
        <v>29</v>
      </c>
      <c r="CH24" s="19">
        <v>8.5</v>
      </c>
      <c r="CI24" s="16">
        <f>CH24*0.95</f>
        <v>8.0749999999999993</v>
      </c>
      <c r="CJ24" s="15" t="s">
        <v>45</v>
      </c>
    </row>
    <row r="25" spans="1:88" x14ac:dyDescent="0.2">
      <c r="A25" s="16"/>
      <c r="B25" s="16" t="s">
        <v>46</v>
      </c>
      <c r="C25" s="16" t="s">
        <v>29</v>
      </c>
      <c r="D25" s="16">
        <v>5</v>
      </c>
      <c r="E25" s="16">
        <f t="shared" si="1"/>
        <v>4.75</v>
      </c>
      <c r="F25" s="16">
        <v>35</v>
      </c>
      <c r="G25" s="16"/>
      <c r="H25" s="16"/>
      <c r="I25" s="16"/>
      <c r="J25" s="16" t="s">
        <v>46</v>
      </c>
      <c r="K25" s="16" t="s">
        <v>29</v>
      </c>
      <c r="L25" s="16">
        <v>5</v>
      </c>
      <c r="M25" s="16">
        <f t="shared" si="2"/>
        <v>4.75</v>
      </c>
      <c r="N25" s="16">
        <v>35</v>
      </c>
      <c r="O25" s="16"/>
      <c r="P25" s="16"/>
      <c r="R25" s="15" t="s">
        <v>46</v>
      </c>
      <c r="S25" s="15" t="s">
        <v>29</v>
      </c>
      <c r="T25" s="15">
        <v>5</v>
      </c>
      <c r="U25" s="15">
        <f t="shared" si="3"/>
        <v>4.75</v>
      </c>
      <c r="V25" s="26">
        <v>35</v>
      </c>
      <c r="W25" s="26"/>
      <c r="X25" s="26"/>
      <c r="Z25" s="15" t="s">
        <v>46</v>
      </c>
      <c r="AA25" s="15" t="s">
        <v>29</v>
      </c>
      <c r="AB25" s="15">
        <v>5</v>
      </c>
      <c r="AC25" s="15">
        <f t="shared" si="4"/>
        <v>4.75</v>
      </c>
      <c r="AD25" s="15">
        <v>35</v>
      </c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CF25" s="15" t="s">
        <v>46</v>
      </c>
      <c r="CG25" s="15" t="s">
        <v>29</v>
      </c>
      <c r="CH25" s="15">
        <v>5</v>
      </c>
      <c r="CI25" s="15">
        <f t="shared" si="0"/>
        <v>4.75</v>
      </c>
      <c r="CJ25" s="15">
        <v>35</v>
      </c>
    </row>
    <row r="26" spans="1:88" x14ac:dyDescent="0.2">
      <c r="A26" s="16"/>
      <c r="B26" s="16" t="s">
        <v>48</v>
      </c>
      <c r="C26" s="16" t="s">
        <v>49</v>
      </c>
      <c r="D26" s="16">
        <v>6</v>
      </c>
      <c r="E26" s="16">
        <f t="shared" si="1"/>
        <v>5.6999999999999993</v>
      </c>
      <c r="F26" s="16">
        <v>35</v>
      </c>
      <c r="G26" s="16">
        <f>SUM(D7:D25)</f>
        <v>93.5</v>
      </c>
      <c r="H26" s="16"/>
      <c r="I26" s="16"/>
      <c r="J26" s="16" t="s">
        <v>48</v>
      </c>
      <c r="K26" s="16" t="s">
        <v>49</v>
      </c>
      <c r="L26" s="16">
        <v>6</v>
      </c>
      <c r="M26" s="16">
        <f t="shared" si="2"/>
        <v>5.6999999999999993</v>
      </c>
      <c r="N26" s="16">
        <v>35</v>
      </c>
      <c r="O26" s="16">
        <f>SUM(L7:L25)</f>
        <v>91.5</v>
      </c>
      <c r="P26" s="16"/>
      <c r="R26" s="15" t="s">
        <v>48</v>
      </c>
      <c r="S26" s="15" t="s">
        <v>49</v>
      </c>
      <c r="T26" s="15">
        <v>6</v>
      </c>
      <c r="U26" s="15">
        <f t="shared" si="3"/>
        <v>5.6999999999999993</v>
      </c>
      <c r="V26" s="26">
        <v>35</v>
      </c>
      <c r="W26" s="26">
        <f>SUM(T7:T25)</f>
        <v>93.5</v>
      </c>
      <c r="X26" s="26"/>
      <c r="Z26" s="15" t="s">
        <v>48</v>
      </c>
      <c r="AA26" s="15" t="s">
        <v>49</v>
      </c>
      <c r="AB26" s="15">
        <v>6</v>
      </c>
      <c r="AC26" s="15">
        <f t="shared" si="4"/>
        <v>5.6999999999999993</v>
      </c>
      <c r="AD26" s="15">
        <v>35</v>
      </c>
      <c r="AE26" s="15">
        <f>SUM(AB7:AB25)</f>
        <v>93.5</v>
      </c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AX26" s="16"/>
      <c r="CF26" s="15" t="s">
        <v>48</v>
      </c>
      <c r="CG26" s="15" t="s">
        <v>49</v>
      </c>
      <c r="CH26" s="15">
        <v>6</v>
      </c>
      <c r="CI26" s="15">
        <f t="shared" si="0"/>
        <v>5.6999999999999993</v>
      </c>
      <c r="CJ26" s="15">
        <v>35</v>
      </c>
    </row>
    <row r="27" spans="1:88" x14ac:dyDescent="0.2">
      <c r="A27" s="16"/>
      <c r="B27" s="16" t="s">
        <v>51</v>
      </c>
      <c r="C27" s="16" t="s">
        <v>29</v>
      </c>
      <c r="D27" s="16">
        <v>4</v>
      </c>
      <c r="E27" s="31">
        <f t="shared" si="1"/>
        <v>3.8</v>
      </c>
      <c r="F27" s="16">
        <v>35</v>
      </c>
      <c r="G27" s="16"/>
      <c r="H27" s="16"/>
      <c r="I27" s="16"/>
      <c r="J27" s="16" t="s">
        <v>51</v>
      </c>
      <c r="K27" s="16" t="s">
        <v>29</v>
      </c>
      <c r="L27" s="16">
        <v>6</v>
      </c>
      <c r="M27" s="31">
        <f t="shared" si="2"/>
        <v>5.6999999999999993</v>
      </c>
      <c r="N27" s="16">
        <v>35</v>
      </c>
      <c r="O27" s="16"/>
      <c r="P27" s="16"/>
      <c r="R27" s="15" t="s">
        <v>51</v>
      </c>
      <c r="S27" s="15" t="s">
        <v>29</v>
      </c>
      <c r="T27" s="15">
        <v>3</v>
      </c>
      <c r="U27" s="28">
        <f t="shared" si="3"/>
        <v>2.8499999999999996</v>
      </c>
      <c r="V27" s="26">
        <v>35</v>
      </c>
      <c r="W27" s="26"/>
      <c r="X27" s="26"/>
      <c r="Z27" s="15" t="s">
        <v>51</v>
      </c>
      <c r="AA27" s="15" t="s">
        <v>29</v>
      </c>
      <c r="AB27" s="15">
        <v>8</v>
      </c>
      <c r="AC27" s="28">
        <f t="shared" si="4"/>
        <v>7.6</v>
      </c>
      <c r="AD27" s="15">
        <v>35</v>
      </c>
      <c r="AN27" s="16"/>
      <c r="AO27" s="16"/>
      <c r="AP27" s="16"/>
      <c r="AQ27" s="16"/>
      <c r="AR27" s="16"/>
      <c r="AS27" s="16"/>
      <c r="AT27" s="16"/>
      <c r="AU27" s="16"/>
      <c r="AV27" s="16"/>
      <c r="AW27" s="16"/>
      <c r="AX27" s="16"/>
      <c r="CF27" s="15" t="s">
        <v>51</v>
      </c>
      <c r="CG27" s="15" t="s">
        <v>29</v>
      </c>
      <c r="CH27" s="15">
        <v>4</v>
      </c>
      <c r="CI27" s="28">
        <f t="shared" si="0"/>
        <v>3.8</v>
      </c>
      <c r="CJ27" s="15">
        <v>35</v>
      </c>
    </row>
    <row r="28" spans="1:88" x14ac:dyDescent="0.2">
      <c r="A28" s="16" t="s">
        <v>65</v>
      </c>
      <c r="B28" s="16"/>
      <c r="C28" s="16"/>
      <c r="D28" s="16">
        <v>1</v>
      </c>
      <c r="E28" s="16">
        <v>0.95</v>
      </c>
      <c r="F28" s="16"/>
      <c r="G28" s="16"/>
      <c r="H28" s="16"/>
      <c r="I28" s="16" t="s">
        <v>65</v>
      </c>
      <c r="J28" s="16"/>
      <c r="K28" s="16"/>
      <c r="L28" s="16">
        <v>1</v>
      </c>
      <c r="M28" s="16">
        <v>0.95</v>
      </c>
      <c r="N28" s="16"/>
      <c r="O28" s="16"/>
      <c r="P28" s="16"/>
      <c r="Q28" s="32" t="s">
        <v>65</v>
      </c>
      <c r="R28" s="32"/>
      <c r="S28" s="32"/>
      <c r="T28" s="32">
        <v>1</v>
      </c>
      <c r="U28" s="15">
        <v>0.95</v>
      </c>
      <c r="V28" s="26"/>
      <c r="W28" s="26"/>
      <c r="X28" s="26"/>
      <c r="Y28" s="14" t="s">
        <v>65</v>
      </c>
      <c r="Z28" s="14"/>
      <c r="AA28" s="14"/>
      <c r="AB28" s="32">
        <v>1</v>
      </c>
      <c r="AC28" s="32">
        <v>0.95</v>
      </c>
      <c r="AD28" s="14"/>
      <c r="AE28" s="14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AX28" s="16"/>
      <c r="CE28" s="10" t="s">
        <v>65</v>
      </c>
      <c r="CF28" s="10" t="s">
        <v>33</v>
      </c>
      <c r="CG28" s="10" t="s">
        <v>29</v>
      </c>
      <c r="CH28" s="15">
        <v>1</v>
      </c>
      <c r="CI28" s="15">
        <f t="shared" si="0"/>
        <v>0.95</v>
      </c>
      <c r="CJ28" s="10">
        <v>35</v>
      </c>
    </row>
    <row r="29" spans="1:88" x14ac:dyDescent="0.2">
      <c r="A29" s="16" t="s">
        <v>34</v>
      </c>
      <c r="B29" s="16" t="s">
        <v>35</v>
      </c>
      <c r="C29" s="7" t="s">
        <v>36</v>
      </c>
      <c r="D29" s="16">
        <v>5</v>
      </c>
      <c r="E29" s="16">
        <f t="shared" si="1"/>
        <v>4.75</v>
      </c>
      <c r="F29" s="16">
        <v>35</v>
      </c>
      <c r="G29" s="16"/>
      <c r="H29" s="16"/>
      <c r="I29" s="16" t="s">
        <v>37</v>
      </c>
      <c r="J29" s="16" t="s">
        <v>35</v>
      </c>
      <c r="K29" s="22">
        <v>0.15</v>
      </c>
      <c r="L29" s="16">
        <v>5</v>
      </c>
      <c r="M29" s="16">
        <f t="shared" si="2"/>
        <v>4.75</v>
      </c>
      <c r="N29" s="16">
        <v>35</v>
      </c>
      <c r="O29" s="16"/>
      <c r="P29" s="16"/>
      <c r="Q29" s="15" t="s">
        <v>34</v>
      </c>
      <c r="R29" s="15" t="s">
        <v>35</v>
      </c>
      <c r="S29" s="23">
        <v>0.18</v>
      </c>
      <c r="T29" s="15">
        <v>5</v>
      </c>
      <c r="U29" s="15">
        <f t="shared" si="3"/>
        <v>4.75</v>
      </c>
      <c r="V29" s="26">
        <v>35</v>
      </c>
      <c r="W29" s="26"/>
      <c r="X29" s="26"/>
      <c r="Y29" s="15" t="s">
        <v>37</v>
      </c>
      <c r="Z29" s="15" t="s">
        <v>35</v>
      </c>
      <c r="AA29" s="23">
        <v>0.87</v>
      </c>
      <c r="AB29" s="15">
        <v>5</v>
      </c>
      <c r="AC29" s="15">
        <f t="shared" si="4"/>
        <v>4.75</v>
      </c>
      <c r="AD29" s="15">
        <v>35</v>
      </c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AX29" s="16"/>
      <c r="CF29" s="15" t="s">
        <v>35</v>
      </c>
      <c r="CG29" s="23">
        <v>0.18</v>
      </c>
      <c r="CH29" s="15">
        <v>5</v>
      </c>
      <c r="CI29" s="15">
        <f t="shared" si="0"/>
        <v>4.75</v>
      </c>
      <c r="CJ29" s="15">
        <v>35</v>
      </c>
    </row>
    <row r="30" spans="1:88" x14ac:dyDescent="0.2">
      <c r="A30" s="16"/>
      <c r="B30" s="16" t="s">
        <v>40</v>
      </c>
      <c r="C30" s="16" t="s">
        <v>29</v>
      </c>
      <c r="D30" s="16">
        <v>4</v>
      </c>
      <c r="E30" s="16">
        <f t="shared" si="1"/>
        <v>3.8</v>
      </c>
      <c r="F30" s="16">
        <v>35</v>
      </c>
      <c r="G30" s="16"/>
      <c r="H30" s="16"/>
      <c r="I30" s="16"/>
      <c r="J30" s="16" t="s">
        <v>40</v>
      </c>
      <c r="K30" s="16" t="s">
        <v>29</v>
      </c>
      <c r="L30" s="16">
        <v>4</v>
      </c>
      <c r="M30" s="16">
        <f t="shared" si="2"/>
        <v>3.8</v>
      </c>
      <c r="N30" s="16">
        <v>35</v>
      </c>
      <c r="O30" s="16"/>
      <c r="P30" s="16"/>
      <c r="R30" s="15" t="s">
        <v>40</v>
      </c>
      <c r="S30" s="15" t="s">
        <v>29</v>
      </c>
      <c r="T30" s="15">
        <v>4</v>
      </c>
      <c r="U30" s="15">
        <f t="shared" si="3"/>
        <v>3.8</v>
      </c>
      <c r="V30" s="26">
        <v>35</v>
      </c>
      <c r="W30" s="26"/>
      <c r="X30" s="26"/>
      <c r="Z30" s="15" t="s">
        <v>40</v>
      </c>
      <c r="AA30" s="15" t="s">
        <v>29</v>
      </c>
      <c r="AB30" s="15">
        <v>4</v>
      </c>
      <c r="AC30" s="15">
        <f t="shared" si="4"/>
        <v>3.8</v>
      </c>
      <c r="AD30" s="15">
        <v>35</v>
      </c>
      <c r="AN30" s="16"/>
      <c r="AO30" s="16"/>
      <c r="AP30" s="16"/>
      <c r="AQ30" s="16"/>
      <c r="AR30" s="16"/>
      <c r="AS30" s="16"/>
      <c r="AT30" s="16"/>
      <c r="AU30" s="16"/>
      <c r="AV30" s="16"/>
      <c r="AW30" s="16"/>
      <c r="AX30" s="16"/>
      <c r="CF30" s="15" t="s">
        <v>40</v>
      </c>
      <c r="CG30" s="15" t="s">
        <v>29</v>
      </c>
      <c r="CH30" s="15">
        <v>2</v>
      </c>
      <c r="CI30" s="15">
        <f t="shared" si="0"/>
        <v>1.9</v>
      </c>
      <c r="CJ30" s="15">
        <v>35</v>
      </c>
    </row>
    <row r="31" spans="1:88" x14ac:dyDescent="0.2">
      <c r="A31" s="16"/>
      <c r="B31" s="19" t="s">
        <v>42</v>
      </c>
      <c r="C31" s="19" t="s">
        <v>29</v>
      </c>
      <c r="D31" s="19">
        <v>8.5</v>
      </c>
      <c r="E31" s="16">
        <v>8.0749999999999993</v>
      </c>
      <c r="F31" s="24">
        <v>45</v>
      </c>
      <c r="G31" s="16"/>
      <c r="H31" s="16"/>
      <c r="I31" s="16"/>
      <c r="J31" s="19" t="s">
        <v>42</v>
      </c>
      <c r="K31" s="19" t="s">
        <v>29</v>
      </c>
      <c r="L31" s="19">
        <v>8.5</v>
      </c>
      <c r="M31" s="16">
        <f>L31*0.95</f>
        <v>8.0749999999999993</v>
      </c>
      <c r="N31" s="24">
        <v>45</v>
      </c>
      <c r="O31" s="16"/>
      <c r="P31" s="16"/>
      <c r="R31" s="25" t="s">
        <v>42</v>
      </c>
      <c r="S31" s="25" t="s">
        <v>29</v>
      </c>
      <c r="T31" s="19">
        <v>8.5</v>
      </c>
      <c r="U31" s="16">
        <f>T31*0.95</f>
        <v>8.0749999999999993</v>
      </c>
      <c r="V31" s="19" t="s">
        <v>57</v>
      </c>
      <c r="W31" s="21"/>
      <c r="X31" s="21"/>
      <c r="Z31" s="25" t="s">
        <v>42</v>
      </c>
      <c r="AA31" s="25" t="s">
        <v>29</v>
      </c>
      <c r="AB31" s="19">
        <v>8.5</v>
      </c>
      <c r="AC31" s="16">
        <f>AB31*0.95</f>
        <v>8.0749999999999993</v>
      </c>
      <c r="AD31" s="25" t="s">
        <v>57</v>
      </c>
      <c r="AN31" s="16"/>
      <c r="AO31" s="16"/>
      <c r="AP31" s="16"/>
      <c r="AQ31" s="16"/>
      <c r="AR31" s="16"/>
      <c r="AS31" s="16"/>
      <c r="AT31" s="16"/>
      <c r="AU31" s="16"/>
      <c r="AV31" s="16"/>
      <c r="AW31" s="16"/>
      <c r="AX31" s="16"/>
      <c r="CF31" s="25" t="s">
        <v>42</v>
      </c>
      <c r="CG31" s="25" t="s">
        <v>29</v>
      </c>
      <c r="CH31" s="19">
        <v>8.5</v>
      </c>
      <c r="CI31" s="16">
        <f>CH31*0.95</f>
        <v>8.0749999999999993</v>
      </c>
      <c r="CJ31" s="15" t="s">
        <v>45</v>
      </c>
    </row>
    <row r="32" spans="1:88" x14ac:dyDescent="0.2">
      <c r="A32" s="16"/>
      <c r="B32" s="16" t="s">
        <v>46</v>
      </c>
      <c r="C32" s="16" t="s">
        <v>29</v>
      </c>
      <c r="D32" s="16">
        <v>5</v>
      </c>
      <c r="E32" s="16">
        <f t="shared" si="1"/>
        <v>4.75</v>
      </c>
      <c r="F32" s="16">
        <v>35</v>
      </c>
      <c r="G32" s="16"/>
      <c r="H32" s="16"/>
      <c r="I32" s="16"/>
      <c r="J32" s="16" t="s">
        <v>46</v>
      </c>
      <c r="K32" s="16" t="s">
        <v>29</v>
      </c>
      <c r="L32" s="16">
        <v>5</v>
      </c>
      <c r="M32" s="16">
        <f t="shared" si="2"/>
        <v>4.75</v>
      </c>
      <c r="N32" s="16">
        <v>35</v>
      </c>
      <c r="O32" s="16"/>
      <c r="P32" s="16"/>
      <c r="R32" s="15" t="s">
        <v>46</v>
      </c>
      <c r="S32" s="15" t="s">
        <v>29</v>
      </c>
      <c r="T32" s="15">
        <v>5</v>
      </c>
      <c r="U32" s="15">
        <f t="shared" si="3"/>
        <v>4.75</v>
      </c>
      <c r="V32" s="26">
        <v>35</v>
      </c>
      <c r="W32" s="26"/>
      <c r="X32" s="26"/>
      <c r="Z32" s="15" t="s">
        <v>46</v>
      </c>
      <c r="AA32" s="15" t="s">
        <v>29</v>
      </c>
      <c r="AB32" s="15">
        <v>5</v>
      </c>
      <c r="AC32" s="15">
        <f t="shared" si="4"/>
        <v>4.75</v>
      </c>
      <c r="AD32" s="15">
        <v>35</v>
      </c>
      <c r="AN32" s="16"/>
      <c r="AO32" s="16"/>
      <c r="AP32" s="16"/>
      <c r="AQ32" s="16"/>
      <c r="AR32" s="16"/>
      <c r="AS32" s="16"/>
      <c r="AT32" s="16"/>
      <c r="AU32" s="16"/>
      <c r="AV32" s="16"/>
      <c r="AW32" s="16"/>
      <c r="AX32" s="16"/>
      <c r="CF32" s="15" t="s">
        <v>46</v>
      </c>
      <c r="CG32" s="15" t="s">
        <v>29</v>
      </c>
      <c r="CH32" s="15">
        <v>5</v>
      </c>
      <c r="CI32" s="15">
        <f t="shared" si="0"/>
        <v>4.75</v>
      </c>
      <c r="CJ32" s="15">
        <v>35</v>
      </c>
    </row>
    <row r="33" spans="1:88" x14ac:dyDescent="0.2">
      <c r="A33" s="16"/>
      <c r="B33" s="16" t="s">
        <v>48</v>
      </c>
      <c r="C33" s="16" t="s">
        <v>49</v>
      </c>
      <c r="D33" s="16">
        <v>6</v>
      </c>
      <c r="E33" s="16">
        <f t="shared" si="1"/>
        <v>5.6999999999999993</v>
      </c>
      <c r="F33" s="16">
        <v>35</v>
      </c>
      <c r="G33" s="16">
        <f>SUM(D7:D32)</f>
        <v>127</v>
      </c>
      <c r="H33" s="16"/>
      <c r="I33" s="16"/>
      <c r="J33" s="16" t="s">
        <v>48</v>
      </c>
      <c r="K33" s="16" t="s">
        <v>49</v>
      </c>
      <c r="L33" s="16">
        <v>6</v>
      </c>
      <c r="M33" s="16">
        <f t="shared" si="2"/>
        <v>5.6999999999999993</v>
      </c>
      <c r="N33" s="16">
        <v>35</v>
      </c>
      <c r="O33" s="16">
        <f>SUM(L7:L32)</f>
        <v>127</v>
      </c>
      <c r="P33" s="16"/>
      <c r="R33" s="15" t="s">
        <v>48</v>
      </c>
      <c r="S33" s="15" t="s">
        <v>49</v>
      </c>
      <c r="T33" s="15">
        <v>6</v>
      </c>
      <c r="U33" s="15">
        <f t="shared" si="3"/>
        <v>5.6999999999999993</v>
      </c>
      <c r="V33" s="26">
        <v>35</v>
      </c>
      <c r="W33" s="26">
        <f>SUM(T7:T32)</f>
        <v>126</v>
      </c>
      <c r="X33" s="26"/>
      <c r="Z33" s="15" t="s">
        <v>48</v>
      </c>
      <c r="AA33" s="15" t="s">
        <v>49</v>
      </c>
      <c r="AB33" s="15">
        <v>6</v>
      </c>
      <c r="AC33" s="15">
        <f t="shared" si="4"/>
        <v>5.6999999999999993</v>
      </c>
      <c r="AD33" s="15">
        <v>35</v>
      </c>
      <c r="AE33" s="15">
        <f>SUM(AB7:AB32)</f>
        <v>131</v>
      </c>
      <c r="AN33" s="30"/>
      <c r="AO33" s="16"/>
      <c r="AP33" s="16"/>
      <c r="AQ33" s="16"/>
      <c r="AR33" s="16"/>
      <c r="AS33" s="16"/>
      <c r="AT33" s="29"/>
      <c r="AU33" s="29"/>
      <c r="AV33" s="29"/>
      <c r="AW33" s="29"/>
      <c r="AX33" s="16"/>
      <c r="CF33" s="15" t="s">
        <v>48</v>
      </c>
      <c r="CG33" s="15" t="s">
        <v>49</v>
      </c>
      <c r="CH33" s="15">
        <v>6</v>
      </c>
      <c r="CI33" s="15">
        <f t="shared" si="0"/>
        <v>5.6999999999999993</v>
      </c>
      <c r="CJ33" s="15">
        <v>35</v>
      </c>
    </row>
    <row r="34" spans="1:88" x14ac:dyDescent="0.2">
      <c r="A34" s="16"/>
      <c r="B34" s="16" t="s">
        <v>51</v>
      </c>
      <c r="C34" s="16" t="s">
        <v>29</v>
      </c>
      <c r="D34" s="16">
        <v>7</v>
      </c>
      <c r="E34" s="31">
        <f t="shared" si="1"/>
        <v>6.6499999999999995</v>
      </c>
      <c r="F34" s="16">
        <v>35</v>
      </c>
      <c r="G34" s="16"/>
      <c r="H34" s="16"/>
      <c r="I34" s="16"/>
      <c r="J34" s="16" t="s">
        <v>51</v>
      </c>
      <c r="K34" s="16" t="s">
        <v>29</v>
      </c>
      <c r="L34" s="16">
        <v>5</v>
      </c>
      <c r="M34" s="31">
        <f t="shared" si="2"/>
        <v>4.75</v>
      </c>
      <c r="N34" s="16">
        <v>35</v>
      </c>
      <c r="O34" s="16"/>
      <c r="P34" s="16"/>
      <c r="R34" s="15" t="s">
        <v>51</v>
      </c>
      <c r="S34" s="15" t="s">
        <v>29</v>
      </c>
      <c r="T34" s="15">
        <v>4</v>
      </c>
      <c r="U34" s="28">
        <f t="shared" si="3"/>
        <v>3.8</v>
      </c>
      <c r="V34" s="26">
        <v>35</v>
      </c>
      <c r="W34" s="26"/>
      <c r="X34" s="26"/>
      <c r="Z34" s="15" t="s">
        <v>51</v>
      </c>
      <c r="AA34" s="15" t="s">
        <v>29</v>
      </c>
      <c r="AB34" s="15">
        <v>2</v>
      </c>
      <c r="AC34" s="28">
        <f t="shared" si="4"/>
        <v>1.9</v>
      </c>
      <c r="AD34" s="15">
        <v>35</v>
      </c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6"/>
      <c r="AY34" s="16"/>
      <c r="CF34" s="15" t="s">
        <v>51</v>
      </c>
      <c r="CG34" s="15" t="s">
        <v>29</v>
      </c>
      <c r="CH34" s="15">
        <v>4</v>
      </c>
      <c r="CI34" s="28">
        <f t="shared" si="0"/>
        <v>3.8</v>
      </c>
      <c r="CJ34" s="15">
        <v>35</v>
      </c>
    </row>
    <row r="35" spans="1:88" x14ac:dyDescent="0.2">
      <c r="A35" s="16" t="s">
        <v>66</v>
      </c>
      <c r="B35" s="16"/>
      <c r="C35" s="16"/>
      <c r="D35" s="16">
        <v>1</v>
      </c>
      <c r="E35" s="16">
        <v>0.95</v>
      </c>
      <c r="F35" s="16"/>
      <c r="G35" s="16"/>
      <c r="H35" s="16"/>
      <c r="I35" s="16" t="s">
        <v>66</v>
      </c>
      <c r="J35" s="16"/>
      <c r="K35" s="16"/>
      <c r="L35" s="16">
        <v>1</v>
      </c>
      <c r="M35" s="16">
        <v>0.95</v>
      </c>
      <c r="N35" s="16"/>
      <c r="O35" s="16"/>
      <c r="P35" s="16"/>
      <c r="Q35" s="15" t="s">
        <v>66</v>
      </c>
      <c r="T35" s="15">
        <v>1</v>
      </c>
      <c r="U35" s="15">
        <v>0.95</v>
      </c>
      <c r="V35" s="26"/>
      <c r="W35" s="26"/>
      <c r="X35" s="26"/>
      <c r="Y35" s="15" t="s">
        <v>66</v>
      </c>
      <c r="AB35" s="15">
        <v>1</v>
      </c>
      <c r="AC35" s="15">
        <v>0.95</v>
      </c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CE35" s="9" t="s">
        <v>66</v>
      </c>
      <c r="CF35" s="9" t="s">
        <v>33</v>
      </c>
      <c r="CG35" s="9" t="s">
        <v>29</v>
      </c>
      <c r="CH35" s="9">
        <v>40</v>
      </c>
      <c r="CI35" s="15">
        <f t="shared" si="0"/>
        <v>38</v>
      </c>
      <c r="CJ35" s="9">
        <v>35</v>
      </c>
    </row>
    <row r="36" spans="1:88" x14ac:dyDescent="0.2">
      <c r="A36" s="16" t="s">
        <v>37</v>
      </c>
      <c r="B36" s="16" t="s">
        <v>35</v>
      </c>
      <c r="C36" s="7" t="s">
        <v>36</v>
      </c>
      <c r="D36" s="16">
        <v>5</v>
      </c>
      <c r="E36" s="16">
        <f>D36*0.95</f>
        <v>4.75</v>
      </c>
      <c r="F36" s="16">
        <v>35</v>
      </c>
      <c r="G36" s="16"/>
      <c r="H36" s="16"/>
      <c r="I36" s="16" t="s">
        <v>34</v>
      </c>
      <c r="J36" s="16" t="s">
        <v>35</v>
      </c>
      <c r="K36" s="22">
        <v>0.15</v>
      </c>
      <c r="L36" s="16">
        <v>5</v>
      </c>
      <c r="M36" s="16">
        <f>L36*0.95</f>
        <v>4.75</v>
      </c>
      <c r="N36" s="16">
        <v>35</v>
      </c>
      <c r="O36" s="16"/>
      <c r="P36" s="16"/>
      <c r="Q36" s="15" t="s">
        <v>34</v>
      </c>
      <c r="R36" s="15" t="s">
        <v>35</v>
      </c>
      <c r="S36" s="23">
        <v>0.91</v>
      </c>
      <c r="T36" s="15">
        <v>5</v>
      </c>
      <c r="U36" s="15">
        <f>T36*0.95</f>
        <v>4.75</v>
      </c>
      <c r="V36" s="26">
        <v>35</v>
      </c>
      <c r="W36" s="26"/>
      <c r="X36" s="26"/>
      <c r="Y36" s="15" t="s">
        <v>34</v>
      </c>
      <c r="Z36" s="15" t="s">
        <v>35</v>
      </c>
      <c r="AA36" s="23">
        <v>0.92</v>
      </c>
      <c r="AB36" s="15">
        <v>5</v>
      </c>
      <c r="AC36" s="15">
        <f>AB36*0.95</f>
        <v>4.75</v>
      </c>
      <c r="AD36" s="15">
        <v>35</v>
      </c>
      <c r="AN36" s="16"/>
      <c r="AO36" s="16"/>
      <c r="AP36" s="16"/>
      <c r="AQ36" s="16"/>
      <c r="AR36" s="16"/>
      <c r="AS36" s="16"/>
      <c r="AT36" s="16"/>
      <c r="AU36" s="16"/>
      <c r="AV36" s="16"/>
      <c r="AX36" s="16"/>
      <c r="AY36" s="16"/>
      <c r="CF36" s="15" t="s">
        <v>35</v>
      </c>
      <c r="CG36" s="23">
        <v>0.5</v>
      </c>
      <c r="CH36" s="15">
        <v>5</v>
      </c>
      <c r="CI36" s="15">
        <f>CH36*0.95</f>
        <v>4.75</v>
      </c>
      <c r="CJ36" s="15">
        <v>35</v>
      </c>
    </row>
    <row r="37" spans="1:88" x14ac:dyDescent="0.2">
      <c r="A37" s="16"/>
      <c r="B37" s="16" t="s">
        <v>40</v>
      </c>
      <c r="C37" s="16" t="s">
        <v>29</v>
      </c>
      <c r="D37" s="16">
        <v>4</v>
      </c>
      <c r="E37" s="16">
        <f t="shared" si="1"/>
        <v>3.8</v>
      </c>
      <c r="F37" s="16">
        <v>35</v>
      </c>
      <c r="G37" s="16"/>
      <c r="H37" s="16"/>
      <c r="I37" s="16"/>
      <c r="J37" s="16" t="s">
        <v>40</v>
      </c>
      <c r="K37" s="16" t="s">
        <v>29</v>
      </c>
      <c r="L37" s="16">
        <v>4</v>
      </c>
      <c r="M37" s="16">
        <f t="shared" si="2"/>
        <v>3.8</v>
      </c>
      <c r="N37" s="16">
        <v>35</v>
      </c>
      <c r="O37" s="16"/>
      <c r="P37" s="16"/>
      <c r="R37" s="15" t="s">
        <v>40</v>
      </c>
      <c r="S37" s="15" t="s">
        <v>29</v>
      </c>
      <c r="T37" s="15">
        <v>4</v>
      </c>
      <c r="U37" s="15">
        <f t="shared" si="3"/>
        <v>3.8</v>
      </c>
      <c r="V37" s="26">
        <v>35</v>
      </c>
      <c r="W37" s="26"/>
      <c r="X37" s="26"/>
      <c r="Z37" s="15" t="s">
        <v>40</v>
      </c>
      <c r="AA37" s="15" t="s">
        <v>29</v>
      </c>
      <c r="AB37" s="15">
        <v>4</v>
      </c>
      <c r="AC37" s="15">
        <f t="shared" si="4"/>
        <v>3.8</v>
      </c>
      <c r="AD37" s="15">
        <v>35</v>
      </c>
      <c r="AN37" s="16"/>
      <c r="AO37" s="16"/>
      <c r="AP37" s="16"/>
      <c r="AQ37" s="16"/>
      <c r="AR37" s="16"/>
      <c r="AS37" s="16"/>
      <c r="AT37" s="16"/>
      <c r="AU37" s="16"/>
      <c r="AV37" s="16"/>
      <c r="AW37" s="16"/>
      <c r="AX37" s="16"/>
      <c r="AY37" s="16"/>
      <c r="AZ37" s="16"/>
      <c r="BA37" s="16"/>
      <c r="BB37" s="16"/>
      <c r="CF37" s="15" t="s">
        <v>40</v>
      </c>
      <c r="CG37" s="15" t="s">
        <v>29</v>
      </c>
      <c r="CH37" s="15">
        <v>2</v>
      </c>
      <c r="CI37" s="15">
        <f t="shared" si="0"/>
        <v>1.9</v>
      </c>
      <c r="CJ37" s="15">
        <v>35</v>
      </c>
    </row>
    <row r="38" spans="1:88" x14ac:dyDescent="0.2">
      <c r="A38" s="16"/>
      <c r="B38" s="19" t="s">
        <v>42</v>
      </c>
      <c r="C38" s="19" t="s">
        <v>29</v>
      </c>
      <c r="D38" s="19">
        <v>8.5</v>
      </c>
      <c r="E38" s="16">
        <f>D38*0.95</f>
        <v>8.0749999999999993</v>
      </c>
      <c r="F38" s="24">
        <v>45</v>
      </c>
      <c r="G38" s="16"/>
      <c r="H38" s="16"/>
      <c r="I38" s="16"/>
      <c r="J38" s="19" t="s">
        <v>42</v>
      </c>
      <c r="K38" s="19" t="s">
        <v>29</v>
      </c>
      <c r="L38" s="19">
        <v>8.5</v>
      </c>
      <c r="M38" s="16">
        <f>L38*0.95</f>
        <v>8.0749999999999993</v>
      </c>
      <c r="N38" s="24">
        <v>45</v>
      </c>
      <c r="O38" s="16"/>
      <c r="P38" s="16"/>
      <c r="R38" s="25" t="s">
        <v>42</v>
      </c>
      <c r="S38" s="25" t="s">
        <v>29</v>
      </c>
      <c r="T38" s="19">
        <v>8.5</v>
      </c>
      <c r="U38" s="16">
        <f>T38*0.95</f>
        <v>8.0749999999999993</v>
      </c>
      <c r="V38" s="19" t="s">
        <v>43</v>
      </c>
      <c r="W38" s="21"/>
      <c r="X38" s="21"/>
      <c r="Z38" s="25" t="s">
        <v>42</v>
      </c>
      <c r="AA38" s="25" t="s">
        <v>29</v>
      </c>
      <c r="AB38" s="19">
        <v>8.5</v>
      </c>
      <c r="AC38" s="16">
        <f>AB38*0.95</f>
        <v>8.0749999999999993</v>
      </c>
      <c r="AD38" s="25" t="s">
        <v>43</v>
      </c>
      <c r="AN38" s="16"/>
      <c r="AO38" s="16"/>
      <c r="AP38" s="16"/>
      <c r="AQ38" s="16"/>
      <c r="AR38" s="16"/>
      <c r="AS38" s="16"/>
      <c r="AT38" s="16"/>
      <c r="AU38" s="16"/>
      <c r="AV38" s="16"/>
      <c r="AW38" s="16"/>
      <c r="AX38" s="16"/>
      <c r="AY38" s="16"/>
      <c r="AZ38" s="16"/>
      <c r="BA38" s="16"/>
      <c r="BB38" s="16"/>
      <c r="CF38" s="25" t="s">
        <v>42</v>
      </c>
      <c r="CG38" s="25" t="s">
        <v>29</v>
      </c>
      <c r="CH38" s="19">
        <v>8.5</v>
      </c>
      <c r="CI38" s="16">
        <f>CH38*0.95</f>
        <v>8.0749999999999993</v>
      </c>
      <c r="CJ38" s="15" t="s">
        <v>60</v>
      </c>
    </row>
    <row r="39" spans="1:88" x14ac:dyDescent="0.2">
      <c r="A39" s="16"/>
      <c r="B39" s="16" t="s">
        <v>46</v>
      </c>
      <c r="C39" s="16" t="s">
        <v>29</v>
      </c>
      <c r="D39" s="16">
        <v>5</v>
      </c>
      <c r="E39" s="16">
        <f t="shared" ref="E39:E68" si="5">D39*0.95</f>
        <v>4.75</v>
      </c>
      <c r="F39" s="16">
        <v>35</v>
      </c>
      <c r="G39" s="16"/>
      <c r="H39" s="16"/>
      <c r="I39" s="16"/>
      <c r="J39" s="16" t="s">
        <v>46</v>
      </c>
      <c r="K39" s="16" t="s">
        <v>29</v>
      </c>
      <c r="L39" s="16">
        <v>5</v>
      </c>
      <c r="M39" s="16">
        <f t="shared" ref="M39:M90" si="6">L39*0.95</f>
        <v>4.75</v>
      </c>
      <c r="N39" s="16">
        <v>35</v>
      </c>
      <c r="O39" s="16"/>
      <c r="P39" s="16"/>
      <c r="R39" s="15" t="s">
        <v>46</v>
      </c>
      <c r="S39" s="15" t="s">
        <v>29</v>
      </c>
      <c r="T39" s="15">
        <v>5</v>
      </c>
      <c r="U39" s="15">
        <f t="shared" si="3"/>
        <v>4.75</v>
      </c>
      <c r="V39" s="26">
        <v>35</v>
      </c>
      <c r="W39" s="26"/>
      <c r="X39" s="26"/>
      <c r="Z39" s="15" t="s">
        <v>46</v>
      </c>
      <c r="AA39" s="15" t="s">
        <v>29</v>
      </c>
      <c r="AB39" s="15">
        <v>5</v>
      </c>
      <c r="AC39" s="15">
        <f t="shared" si="4"/>
        <v>4.75</v>
      </c>
      <c r="AD39" s="15">
        <v>35</v>
      </c>
      <c r="AN39" s="16"/>
      <c r="AO39" s="16"/>
      <c r="AP39" s="16"/>
      <c r="AQ39" s="16"/>
      <c r="AR39" s="16"/>
      <c r="AS39" s="16"/>
      <c r="AT39" s="16"/>
      <c r="AU39" s="16"/>
      <c r="AV39" s="16"/>
      <c r="AW39" s="16"/>
      <c r="AX39" s="29"/>
      <c r="AY39" s="16"/>
      <c r="CF39" s="15" t="s">
        <v>46</v>
      </c>
      <c r="CG39" s="15" t="s">
        <v>29</v>
      </c>
      <c r="CH39" s="15">
        <v>5</v>
      </c>
      <c r="CI39" s="15">
        <f t="shared" si="0"/>
        <v>4.75</v>
      </c>
      <c r="CJ39" s="15">
        <v>35</v>
      </c>
    </row>
    <row r="40" spans="1:88" x14ac:dyDescent="0.2">
      <c r="A40" s="16"/>
      <c r="B40" s="16" t="s">
        <v>48</v>
      </c>
      <c r="C40" s="16" t="s">
        <v>49</v>
      </c>
      <c r="D40" s="16">
        <v>6</v>
      </c>
      <c r="E40" s="16">
        <f t="shared" si="5"/>
        <v>5.6999999999999993</v>
      </c>
      <c r="F40" s="16">
        <v>35</v>
      </c>
      <c r="G40" s="16">
        <f>SUM(D7:D39)</f>
        <v>163.5</v>
      </c>
      <c r="H40" s="16"/>
      <c r="I40" s="16"/>
      <c r="J40" s="16" t="s">
        <v>48</v>
      </c>
      <c r="K40" s="16" t="s">
        <v>49</v>
      </c>
      <c r="L40" s="16">
        <v>6</v>
      </c>
      <c r="M40" s="16">
        <f t="shared" si="6"/>
        <v>5.6999999999999993</v>
      </c>
      <c r="N40" s="16">
        <v>35</v>
      </c>
      <c r="O40" s="16">
        <f>SUM(L7:L39)</f>
        <v>161.5</v>
      </c>
      <c r="P40" s="16"/>
      <c r="R40" s="15" t="s">
        <v>48</v>
      </c>
      <c r="S40" s="15" t="s">
        <v>49</v>
      </c>
      <c r="T40" s="15">
        <v>6</v>
      </c>
      <c r="U40" s="15">
        <f t="shared" si="3"/>
        <v>5.6999999999999993</v>
      </c>
      <c r="V40" s="26">
        <v>35</v>
      </c>
      <c r="W40" s="26">
        <f>SUM(T7:T39)</f>
        <v>159.5</v>
      </c>
      <c r="X40" s="26"/>
      <c r="Z40" s="15" t="s">
        <v>48</v>
      </c>
      <c r="AA40" s="15" t="s">
        <v>49</v>
      </c>
      <c r="AB40" s="15">
        <v>6</v>
      </c>
      <c r="AC40" s="15">
        <f t="shared" si="4"/>
        <v>5.6999999999999993</v>
      </c>
      <c r="AD40" s="15">
        <v>35</v>
      </c>
      <c r="AE40" s="15">
        <f>SUM(AB7:AB39)</f>
        <v>162.5</v>
      </c>
      <c r="AX40" s="13"/>
      <c r="AY40" s="1"/>
      <c r="AZ40" s="16"/>
      <c r="BA40" s="1"/>
      <c r="BB40" s="1"/>
      <c r="CF40" s="15" t="s">
        <v>48</v>
      </c>
      <c r="CG40" s="15" t="s">
        <v>49</v>
      </c>
      <c r="CH40" s="15">
        <v>6</v>
      </c>
      <c r="CI40" s="15">
        <f t="shared" si="0"/>
        <v>5.6999999999999993</v>
      </c>
      <c r="CJ40" s="15">
        <v>35</v>
      </c>
    </row>
    <row r="41" spans="1:88" x14ac:dyDescent="0.2">
      <c r="A41" s="16"/>
      <c r="B41" s="16" t="s">
        <v>51</v>
      </c>
      <c r="C41" s="16" t="s">
        <v>29</v>
      </c>
      <c r="D41" s="16">
        <v>8</v>
      </c>
      <c r="E41" s="27">
        <f t="shared" si="5"/>
        <v>7.6</v>
      </c>
      <c r="F41" s="16">
        <v>35</v>
      </c>
      <c r="G41" s="16"/>
      <c r="H41" s="16"/>
      <c r="I41" s="16"/>
      <c r="J41" s="16" t="s">
        <v>51</v>
      </c>
      <c r="K41" s="16" t="s">
        <v>29</v>
      </c>
      <c r="L41" s="16">
        <v>4</v>
      </c>
      <c r="M41" s="27">
        <f t="shared" si="6"/>
        <v>3.8</v>
      </c>
      <c r="N41" s="16">
        <v>35</v>
      </c>
      <c r="O41" s="16"/>
      <c r="P41" s="16"/>
      <c r="R41" s="15" t="s">
        <v>51</v>
      </c>
      <c r="S41" s="15" t="s">
        <v>29</v>
      </c>
      <c r="T41" s="15">
        <v>7</v>
      </c>
      <c r="U41" s="28">
        <f t="shared" si="3"/>
        <v>6.6499999999999995</v>
      </c>
      <c r="V41" s="26">
        <v>35</v>
      </c>
      <c r="W41" s="26"/>
      <c r="X41" s="26"/>
      <c r="Z41" s="15" t="s">
        <v>51</v>
      </c>
      <c r="AA41" s="15" t="s">
        <v>29</v>
      </c>
      <c r="AB41" s="15">
        <v>7</v>
      </c>
      <c r="AC41" s="28">
        <f t="shared" si="4"/>
        <v>6.6499999999999995</v>
      </c>
      <c r="AD41" s="15">
        <v>35</v>
      </c>
      <c r="AX41" s="29"/>
      <c r="AY41" s="16"/>
      <c r="AZ41" s="16"/>
      <c r="BA41" s="16"/>
      <c r="BB41" s="16"/>
      <c r="CF41" s="15" t="s">
        <v>51</v>
      </c>
      <c r="CG41" s="15" t="s">
        <v>29</v>
      </c>
      <c r="CH41" s="15">
        <v>7</v>
      </c>
      <c r="CI41" s="28">
        <f t="shared" si="0"/>
        <v>6.6499999999999995</v>
      </c>
      <c r="CJ41" s="15">
        <v>35</v>
      </c>
    </row>
    <row r="42" spans="1:88" x14ac:dyDescent="0.2">
      <c r="A42" s="16" t="s">
        <v>67</v>
      </c>
      <c r="B42" s="16"/>
      <c r="C42" s="16"/>
      <c r="D42" s="16">
        <v>1</v>
      </c>
      <c r="E42" s="16">
        <v>0.95</v>
      </c>
      <c r="F42" s="16"/>
      <c r="G42" s="16"/>
      <c r="H42" s="16"/>
      <c r="I42" s="16" t="s">
        <v>67</v>
      </c>
      <c r="J42" s="16"/>
      <c r="K42" s="16"/>
      <c r="L42" s="16">
        <v>1</v>
      </c>
      <c r="M42" s="16">
        <v>0.95</v>
      </c>
      <c r="N42" s="16"/>
      <c r="O42" s="16"/>
      <c r="P42" s="16"/>
      <c r="Q42" s="15" t="s">
        <v>67</v>
      </c>
      <c r="T42" s="15">
        <v>1</v>
      </c>
      <c r="U42" s="15">
        <v>0.95</v>
      </c>
      <c r="V42" s="26"/>
      <c r="W42" s="26"/>
      <c r="X42" s="26"/>
      <c r="Y42" s="15" t="s">
        <v>67</v>
      </c>
      <c r="AB42" s="15">
        <v>1</v>
      </c>
      <c r="AC42" s="15">
        <v>0.95</v>
      </c>
      <c r="AX42" s="29"/>
      <c r="AY42" s="16"/>
      <c r="AZ42" s="16"/>
      <c r="BA42" s="16"/>
      <c r="BB42" s="16"/>
      <c r="CE42" s="15" t="s">
        <v>67</v>
      </c>
      <c r="CF42" s="15" t="s">
        <v>33</v>
      </c>
      <c r="CG42" s="15" t="s">
        <v>29</v>
      </c>
      <c r="CH42" s="15">
        <v>1</v>
      </c>
      <c r="CI42" s="15">
        <f t="shared" si="0"/>
        <v>0.95</v>
      </c>
      <c r="CJ42" s="15">
        <v>35</v>
      </c>
    </row>
    <row r="43" spans="1:88" x14ac:dyDescent="0.2">
      <c r="A43" s="16" t="s">
        <v>37</v>
      </c>
      <c r="B43" s="16" t="s">
        <v>35</v>
      </c>
      <c r="C43" s="7" t="s">
        <v>36</v>
      </c>
      <c r="D43" s="16">
        <v>5</v>
      </c>
      <c r="E43" s="16">
        <f t="shared" si="5"/>
        <v>4.75</v>
      </c>
      <c r="F43" s="16">
        <v>35</v>
      </c>
      <c r="G43" s="16"/>
      <c r="H43" s="16"/>
      <c r="I43" s="16" t="s">
        <v>34</v>
      </c>
      <c r="J43" s="16" t="s">
        <v>35</v>
      </c>
      <c r="K43" s="22">
        <v>0.9</v>
      </c>
      <c r="L43" s="16">
        <v>5</v>
      </c>
      <c r="M43" s="16">
        <f t="shared" si="6"/>
        <v>4.75</v>
      </c>
      <c r="N43" s="16">
        <v>35</v>
      </c>
      <c r="O43" s="16"/>
      <c r="P43" s="16"/>
      <c r="Q43" s="15" t="s">
        <v>37</v>
      </c>
      <c r="R43" s="15" t="s">
        <v>35</v>
      </c>
      <c r="S43" s="23">
        <v>0.2</v>
      </c>
      <c r="T43" s="15">
        <v>5</v>
      </c>
      <c r="U43" s="15">
        <f t="shared" si="3"/>
        <v>4.75</v>
      </c>
      <c r="V43" s="26">
        <v>35</v>
      </c>
      <c r="W43" s="26"/>
      <c r="X43" s="26"/>
      <c r="Y43" s="15" t="s">
        <v>37</v>
      </c>
      <c r="Z43" s="15" t="s">
        <v>35</v>
      </c>
      <c r="AA43" s="23">
        <v>0.16</v>
      </c>
      <c r="AB43" s="15">
        <v>5</v>
      </c>
      <c r="AC43" s="15">
        <f t="shared" si="4"/>
        <v>4.75</v>
      </c>
      <c r="AD43" s="15">
        <v>35</v>
      </c>
      <c r="AX43" s="29"/>
      <c r="AY43" s="16"/>
      <c r="AZ43" s="16"/>
      <c r="BA43" s="16"/>
      <c r="BB43" s="16"/>
      <c r="CF43" s="15" t="s">
        <v>35</v>
      </c>
      <c r="CG43" s="23">
        <v>0.5</v>
      </c>
      <c r="CH43" s="15">
        <v>5</v>
      </c>
      <c r="CI43" s="15">
        <f t="shared" si="0"/>
        <v>4.75</v>
      </c>
      <c r="CJ43" s="15">
        <v>35</v>
      </c>
    </row>
    <row r="44" spans="1:88" x14ac:dyDescent="0.2">
      <c r="A44" s="16"/>
      <c r="B44" s="16" t="s">
        <v>40</v>
      </c>
      <c r="C44" s="16" t="s">
        <v>29</v>
      </c>
      <c r="D44" s="16">
        <v>4</v>
      </c>
      <c r="E44" s="16">
        <f t="shared" si="5"/>
        <v>3.8</v>
      </c>
      <c r="F44" s="16">
        <v>35</v>
      </c>
      <c r="G44" s="16"/>
      <c r="H44" s="16"/>
      <c r="I44" s="16"/>
      <c r="J44" s="16" t="s">
        <v>40</v>
      </c>
      <c r="K44" s="16" t="s">
        <v>29</v>
      </c>
      <c r="L44" s="16">
        <v>4</v>
      </c>
      <c r="M44" s="16">
        <f t="shared" si="6"/>
        <v>3.8</v>
      </c>
      <c r="N44" s="16">
        <v>35</v>
      </c>
      <c r="O44" s="16"/>
      <c r="P44" s="16"/>
      <c r="R44" s="15" t="s">
        <v>40</v>
      </c>
      <c r="S44" s="15" t="s">
        <v>29</v>
      </c>
      <c r="T44" s="15">
        <v>4</v>
      </c>
      <c r="U44" s="15">
        <f t="shared" si="3"/>
        <v>3.8</v>
      </c>
      <c r="V44" s="26">
        <v>35</v>
      </c>
      <c r="W44" s="26"/>
      <c r="X44" s="26"/>
      <c r="Z44" s="15" t="s">
        <v>40</v>
      </c>
      <c r="AA44" s="15" t="s">
        <v>29</v>
      </c>
      <c r="AB44" s="15">
        <v>4</v>
      </c>
      <c r="AC44" s="15">
        <f t="shared" si="4"/>
        <v>3.8</v>
      </c>
      <c r="AD44" s="15">
        <v>35</v>
      </c>
      <c r="AX44" s="29"/>
      <c r="AY44" s="16"/>
      <c r="AZ44" s="16"/>
      <c r="BA44" s="16"/>
      <c r="BB44" s="16"/>
      <c r="CF44" s="15" t="s">
        <v>40</v>
      </c>
      <c r="CG44" s="15" t="s">
        <v>29</v>
      </c>
      <c r="CH44" s="15">
        <v>2</v>
      </c>
      <c r="CI44" s="15">
        <f t="shared" si="0"/>
        <v>1.9</v>
      </c>
      <c r="CJ44" s="15">
        <v>35</v>
      </c>
    </row>
    <row r="45" spans="1:88" x14ac:dyDescent="0.2">
      <c r="A45" s="16"/>
      <c r="B45" s="19" t="s">
        <v>42</v>
      </c>
      <c r="C45" s="19" t="s">
        <v>29</v>
      </c>
      <c r="D45" s="19">
        <v>8.5</v>
      </c>
      <c r="E45" s="16">
        <f>D45*0.95</f>
        <v>8.0749999999999993</v>
      </c>
      <c r="F45" s="24">
        <v>47</v>
      </c>
      <c r="G45" s="16"/>
      <c r="H45" s="16"/>
      <c r="I45" s="16"/>
      <c r="J45" s="19" t="s">
        <v>42</v>
      </c>
      <c r="K45" s="19" t="s">
        <v>29</v>
      </c>
      <c r="L45" s="19">
        <v>8.5</v>
      </c>
      <c r="M45" s="16">
        <f>L45*0.95</f>
        <v>8.0749999999999993</v>
      </c>
      <c r="N45" s="24">
        <v>47</v>
      </c>
      <c r="O45" s="16"/>
      <c r="P45" s="16"/>
      <c r="R45" s="25" t="s">
        <v>42</v>
      </c>
      <c r="S45" s="25" t="s">
        <v>29</v>
      </c>
      <c r="T45" s="19">
        <v>8.5</v>
      </c>
      <c r="U45" s="16">
        <f>T45*0.95</f>
        <v>8.0749999999999993</v>
      </c>
      <c r="V45" s="19" t="s">
        <v>57</v>
      </c>
      <c r="W45" s="21"/>
      <c r="X45" s="21"/>
      <c r="Z45" s="25" t="s">
        <v>42</v>
      </c>
      <c r="AA45" s="25" t="s">
        <v>29</v>
      </c>
      <c r="AB45" s="19">
        <v>8.5</v>
      </c>
      <c r="AC45" s="16">
        <f>AB45*0.95</f>
        <v>8.0749999999999993</v>
      </c>
      <c r="AD45" s="25" t="s">
        <v>57</v>
      </c>
      <c r="AX45" s="29"/>
      <c r="AY45" s="16"/>
      <c r="AZ45" s="16"/>
      <c r="BA45" s="16"/>
      <c r="BB45" s="16"/>
      <c r="CF45" s="25" t="s">
        <v>42</v>
      </c>
      <c r="CG45" s="25" t="s">
        <v>29</v>
      </c>
      <c r="CH45" s="19">
        <v>8.5</v>
      </c>
      <c r="CI45" s="16">
        <f>CH45*0.95</f>
        <v>8.0749999999999993</v>
      </c>
      <c r="CJ45" s="15" t="s">
        <v>45</v>
      </c>
    </row>
    <row r="46" spans="1:88" x14ac:dyDescent="0.2">
      <c r="A46" s="16"/>
      <c r="B46" s="16" t="s">
        <v>46</v>
      </c>
      <c r="C46" s="16" t="s">
        <v>29</v>
      </c>
      <c r="D46" s="16">
        <v>5</v>
      </c>
      <c r="E46" s="16">
        <f t="shared" si="5"/>
        <v>4.75</v>
      </c>
      <c r="F46" s="16">
        <v>35</v>
      </c>
      <c r="G46" s="16"/>
      <c r="H46" s="16"/>
      <c r="I46" s="16"/>
      <c r="J46" s="16" t="s">
        <v>46</v>
      </c>
      <c r="K46" s="16" t="s">
        <v>29</v>
      </c>
      <c r="L46" s="16">
        <v>5</v>
      </c>
      <c r="M46" s="16">
        <f t="shared" si="6"/>
        <v>4.75</v>
      </c>
      <c r="N46" s="16">
        <v>35</v>
      </c>
      <c r="O46" s="16"/>
      <c r="P46" s="16"/>
      <c r="R46" s="15" t="s">
        <v>46</v>
      </c>
      <c r="S46" s="15" t="s">
        <v>29</v>
      </c>
      <c r="T46" s="15">
        <v>5</v>
      </c>
      <c r="U46" s="15">
        <f t="shared" si="3"/>
        <v>4.75</v>
      </c>
      <c r="V46" s="26">
        <v>35</v>
      </c>
      <c r="W46" s="26"/>
      <c r="X46" s="26"/>
      <c r="Z46" s="15" t="s">
        <v>46</v>
      </c>
      <c r="AA46" s="15" t="s">
        <v>29</v>
      </c>
      <c r="AB46" s="15">
        <v>5</v>
      </c>
      <c r="AC46" s="15">
        <f t="shared" si="4"/>
        <v>4.75</v>
      </c>
      <c r="AD46" s="15">
        <v>35</v>
      </c>
      <c r="AN46" s="16"/>
      <c r="AT46" s="16"/>
      <c r="AU46" s="16"/>
      <c r="AV46" s="16"/>
      <c r="AW46" s="16"/>
      <c r="CF46" s="15" t="s">
        <v>46</v>
      </c>
      <c r="CG46" s="15" t="s">
        <v>29</v>
      </c>
      <c r="CH46" s="15">
        <v>5</v>
      </c>
      <c r="CI46" s="15">
        <f t="shared" si="0"/>
        <v>4.75</v>
      </c>
      <c r="CJ46" s="15">
        <v>35</v>
      </c>
    </row>
    <row r="47" spans="1:88" x14ac:dyDescent="0.2">
      <c r="A47" s="16"/>
      <c r="B47" s="16" t="s">
        <v>48</v>
      </c>
      <c r="C47" s="16" t="s">
        <v>49</v>
      </c>
      <c r="D47" s="16">
        <v>6</v>
      </c>
      <c r="E47" s="16">
        <f t="shared" si="5"/>
        <v>5.6999999999999993</v>
      </c>
      <c r="F47" s="16">
        <v>35</v>
      </c>
      <c r="G47" s="16">
        <f>SUM(D7:D46)</f>
        <v>201</v>
      </c>
      <c r="H47" s="16"/>
      <c r="I47" s="16"/>
      <c r="J47" s="16" t="s">
        <v>48</v>
      </c>
      <c r="K47" s="16" t="s">
        <v>49</v>
      </c>
      <c r="L47" s="16">
        <v>6</v>
      </c>
      <c r="M47" s="16">
        <f t="shared" si="6"/>
        <v>5.6999999999999993</v>
      </c>
      <c r="N47" s="16">
        <v>35</v>
      </c>
      <c r="O47" s="16">
        <f>SUM(L7:L46)</f>
        <v>195</v>
      </c>
      <c r="P47" s="16"/>
      <c r="R47" s="15" t="s">
        <v>48</v>
      </c>
      <c r="S47" s="15" t="s">
        <v>49</v>
      </c>
      <c r="T47" s="15">
        <v>6</v>
      </c>
      <c r="U47" s="15">
        <f t="shared" si="3"/>
        <v>5.6999999999999993</v>
      </c>
      <c r="V47" s="26">
        <v>35</v>
      </c>
      <c r="W47" s="26">
        <f>SUM(T7:T46)</f>
        <v>196</v>
      </c>
      <c r="X47" s="26"/>
      <c r="Z47" s="15" t="s">
        <v>48</v>
      </c>
      <c r="AA47" s="15" t="s">
        <v>49</v>
      </c>
      <c r="AB47" s="15">
        <v>6</v>
      </c>
      <c r="AC47" s="15">
        <f t="shared" si="4"/>
        <v>5.6999999999999993</v>
      </c>
      <c r="AD47" s="15">
        <v>35</v>
      </c>
      <c r="AE47" s="15">
        <f>SUM(AB7:AB46)</f>
        <v>199</v>
      </c>
      <c r="CF47" s="15" t="s">
        <v>48</v>
      </c>
      <c r="CG47" s="15" t="s">
        <v>49</v>
      </c>
      <c r="CH47" s="15">
        <v>6</v>
      </c>
      <c r="CI47" s="15">
        <f t="shared" si="0"/>
        <v>5.6999999999999993</v>
      </c>
      <c r="CJ47" s="15">
        <v>35</v>
      </c>
    </row>
    <row r="48" spans="1:88" x14ac:dyDescent="0.2">
      <c r="A48" s="16"/>
      <c r="B48" s="16" t="s">
        <v>51</v>
      </c>
      <c r="C48" s="16" t="s">
        <v>29</v>
      </c>
      <c r="D48" s="16">
        <v>4</v>
      </c>
      <c r="E48" s="27">
        <f t="shared" si="5"/>
        <v>3.8</v>
      </c>
      <c r="F48" s="16">
        <v>35</v>
      </c>
      <c r="G48" s="16"/>
      <c r="H48" s="16"/>
      <c r="I48" s="16"/>
      <c r="J48" s="16" t="s">
        <v>51</v>
      </c>
      <c r="K48" s="16" t="s">
        <v>29</v>
      </c>
      <c r="L48" s="16">
        <v>6</v>
      </c>
      <c r="M48" s="27">
        <f t="shared" si="6"/>
        <v>5.6999999999999993</v>
      </c>
      <c r="N48" s="16">
        <v>35</v>
      </c>
      <c r="O48" s="16"/>
      <c r="P48" s="16"/>
      <c r="R48" s="15" t="s">
        <v>51</v>
      </c>
      <c r="S48" s="15" t="s">
        <v>29</v>
      </c>
      <c r="T48" s="15">
        <v>2</v>
      </c>
      <c r="U48" s="28">
        <f t="shared" si="3"/>
        <v>1.9</v>
      </c>
      <c r="V48" s="26">
        <v>35</v>
      </c>
      <c r="W48" s="26"/>
      <c r="X48" s="26"/>
      <c r="Z48" s="15" t="s">
        <v>51</v>
      </c>
      <c r="AA48" s="15" t="s">
        <v>29</v>
      </c>
      <c r="AB48" s="15">
        <v>4</v>
      </c>
      <c r="AC48" s="28">
        <f t="shared" si="4"/>
        <v>3.8</v>
      </c>
      <c r="AD48" s="15">
        <v>35</v>
      </c>
      <c r="CF48" s="15" t="s">
        <v>51</v>
      </c>
      <c r="CG48" s="15" t="s">
        <v>29</v>
      </c>
      <c r="CH48" s="15">
        <v>4</v>
      </c>
      <c r="CI48" s="28">
        <f t="shared" si="0"/>
        <v>3.8</v>
      </c>
      <c r="CJ48" s="15">
        <v>35</v>
      </c>
    </row>
    <row r="49" spans="1:88" x14ac:dyDescent="0.2">
      <c r="A49" s="16" t="s">
        <v>68</v>
      </c>
      <c r="B49" s="16"/>
      <c r="C49" s="16"/>
      <c r="D49" s="16">
        <v>1</v>
      </c>
      <c r="E49" s="16">
        <v>0.95</v>
      </c>
      <c r="F49" s="16"/>
      <c r="G49" s="16"/>
      <c r="H49" s="16"/>
      <c r="I49" s="16" t="s">
        <v>68</v>
      </c>
      <c r="J49" s="16"/>
      <c r="K49" s="16"/>
      <c r="L49" s="16">
        <v>1</v>
      </c>
      <c r="M49" s="16">
        <v>0.95</v>
      </c>
      <c r="N49" s="16"/>
      <c r="O49" s="16"/>
      <c r="P49" s="16"/>
      <c r="Q49" s="32" t="s">
        <v>68</v>
      </c>
      <c r="R49" s="32"/>
      <c r="S49" s="32"/>
      <c r="T49" s="32">
        <v>1</v>
      </c>
      <c r="U49" s="15">
        <v>0.95</v>
      </c>
      <c r="V49" s="26"/>
      <c r="W49" s="26"/>
      <c r="X49" s="26"/>
      <c r="Y49" s="15" t="s">
        <v>68</v>
      </c>
      <c r="AB49" s="15">
        <v>1</v>
      </c>
      <c r="AC49" s="15">
        <v>0.95</v>
      </c>
      <c r="CE49" s="15" t="s">
        <v>68</v>
      </c>
      <c r="CF49" s="15" t="s">
        <v>33</v>
      </c>
      <c r="CG49" s="15" t="s">
        <v>29</v>
      </c>
      <c r="CH49" s="15">
        <v>1</v>
      </c>
      <c r="CI49" s="15">
        <f t="shared" si="0"/>
        <v>0.95</v>
      </c>
      <c r="CJ49" s="15">
        <v>35</v>
      </c>
    </row>
    <row r="50" spans="1:88" x14ac:dyDescent="0.2">
      <c r="A50" s="16" t="s">
        <v>34</v>
      </c>
      <c r="B50" s="16" t="s">
        <v>35</v>
      </c>
      <c r="C50" s="7" t="s">
        <v>36</v>
      </c>
      <c r="D50" s="16">
        <v>5</v>
      </c>
      <c r="E50" s="16">
        <f t="shared" si="5"/>
        <v>4.75</v>
      </c>
      <c r="F50" s="16">
        <v>35</v>
      </c>
      <c r="G50" s="16"/>
      <c r="H50" s="16"/>
      <c r="I50" s="16" t="s">
        <v>37</v>
      </c>
      <c r="J50" s="16" t="s">
        <v>35</v>
      </c>
      <c r="K50" s="22">
        <v>0.9</v>
      </c>
      <c r="L50" s="16">
        <v>5</v>
      </c>
      <c r="M50" s="16">
        <f t="shared" si="6"/>
        <v>4.75</v>
      </c>
      <c r="N50" s="16">
        <v>35</v>
      </c>
      <c r="O50" s="16"/>
      <c r="P50" s="16"/>
      <c r="Q50" s="15" t="s">
        <v>34</v>
      </c>
      <c r="R50" s="15" t="s">
        <v>35</v>
      </c>
      <c r="S50" s="23">
        <v>0.97</v>
      </c>
      <c r="T50" s="15">
        <v>5</v>
      </c>
      <c r="U50" s="15">
        <f t="shared" si="3"/>
        <v>4.75</v>
      </c>
      <c r="V50" s="26">
        <v>35</v>
      </c>
      <c r="W50" s="26"/>
      <c r="X50" s="26"/>
      <c r="Y50" s="15" t="s">
        <v>34</v>
      </c>
      <c r="Z50" s="15" t="s">
        <v>35</v>
      </c>
      <c r="AA50" s="23">
        <v>0.06</v>
      </c>
      <c r="AB50" s="15">
        <v>5</v>
      </c>
      <c r="AC50" s="15">
        <f t="shared" si="4"/>
        <v>4.75</v>
      </c>
      <c r="AD50" s="15">
        <v>35</v>
      </c>
      <c r="CF50" s="15" t="s">
        <v>35</v>
      </c>
      <c r="CG50" s="23">
        <v>0.7</v>
      </c>
      <c r="CH50" s="15">
        <v>5</v>
      </c>
      <c r="CI50" s="15">
        <f t="shared" si="0"/>
        <v>4.75</v>
      </c>
      <c r="CJ50" s="15">
        <v>35</v>
      </c>
    </row>
    <row r="51" spans="1:88" x14ac:dyDescent="0.2">
      <c r="A51" s="16"/>
      <c r="B51" s="16" t="s">
        <v>40</v>
      </c>
      <c r="C51" s="16" t="s">
        <v>29</v>
      </c>
      <c r="D51" s="16">
        <v>4</v>
      </c>
      <c r="E51" s="16">
        <f t="shared" si="5"/>
        <v>3.8</v>
      </c>
      <c r="F51" s="16">
        <v>35</v>
      </c>
      <c r="G51" s="16"/>
      <c r="H51" s="16"/>
      <c r="I51" s="16"/>
      <c r="J51" s="16" t="s">
        <v>40</v>
      </c>
      <c r="K51" s="16" t="s">
        <v>29</v>
      </c>
      <c r="L51" s="16">
        <v>4</v>
      </c>
      <c r="M51" s="16">
        <f t="shared" si="6"/>
        <v>3.8</v>
      </c>
      <c r="N51" s="16">
        <v>35</v>
      </c>
      <c r="O51" s="16"/>
      <c r="P51" s="16"/>
      <c r="R51" s="15" t="s">
        <v>40</v>
      </c>
      <c r="S51" s="15" t="s">
        <v>29</v>
      </c>
      <c r="T51" s="15">
        <v>4</v>
      </c>
      <c r="U51" s="15">
        <f t="shared" si="3"/>
        <v>3.8</v>
      </c>
      <c r="V51" s="26">
        <v>35</v>
      </c>
      <c r="W51" s="26"/>
      <c r="X51" s="26"/>
      <c r="Z51" s="15" t="s">
        <v>40</v>
      </c>
      <c r="AA51" s="15" t="s">
        <v>29</v>
      </c>
      <c r="AB51" s="15">
        <v>4</v>
      </c>
      <c r="AC51" s="15">
        <f t="shared" si="4"/>
        <v>3.8</v>
      </c>
      <c r="AD51" s="15">
        <v>35</v>
      </c>
      <c r="CF51" s="15" t="s">
        <v>40</v>
      </c>
      <c r="CG51" s="15" t="s">
        <v>29</v>
      </c>
      <c r="CH51" s="15">
        <v>2</v>
      </c>
      <c r="CI51" s="15">
        <f t="shared" si="0"/>
        <v>1.9</v>
      </c>
      <c r="CJ51" s="15">
        <v>35</v>
      </c>
    </row>
    <row r="52" spans="1:88" x14ac:dyDescent="0.2">
      <c r="A52" s="16"/>
      <c r="B52" s="19" t="s">
        <v>42</v>
      </c>
      <c r="C52" s="19" t="s">
        <v>29</v>
      </c>
      <c r="D52" s="19">
        <v>8.5</v>
      </c>
      <c r="E52" s="16">
        <f>D52*0.95</f>
        <v>8.0749999999999993</v>
      </c>
      <c r="F52" s="24">
        <v>47</v>
      </c>
      <c r="G52" s="16"/>
      <c r="H52" s="16"/>
      <c r="I52" s="16"/>
      <c r="J52" s="19" t="s">
        <v>42</v>
      </c>
      <c r="K52" s="19" t="s">
        <v>29</v>
      </c>
      <c r="L52" s="19">
        <v>8.5</v>
      </c>
      <c r="M52" s="16">
        <f>L52*0.95</f>
        <v>8.0749999999999993</v>
      </c>
      <c r="N52" s="24">
        <v>47</v>
      </c>
      <c r="O52" s="16"/>
      <c r="P52" s="16"/>
      <c r="R52" s="25" t="s">
        <v>42</v>
      </c>
      <c r="S52" s="25" t="s">
        <v>29</v>
      </c>
      <c r="T52" s="19">
        <v>8.5</v>
      </c>
      <c r="U52" s="16">
        <f>T52*0.95</f>
        <v>8.0749999999999993</v>
      </c>
      <c r="V52" s="19" t="s">
        <v>57</v>
      </c>
      <c r="W52" s="21"/>
      <c r="X52" s="21"/>
      <c r="Z52" s="25" t="s">
        <v>42</v>
      </c>
      <c r="AA52" s="25" t="s">
        <v>29</v>
      </c>
      <c r="AB52" s="19">
        <v>8.5</v>
      </c>
      <c r="AC52" s="16">
        <f>AB52*0.95</f>
        <v>8.0749999999999993</v>
      </c>
      <c r="AD52" s="25" t="s">
        <v>43</v>
      </c>
      <c r="CF52" s="25" t="s">
        <v>42</v>
      </c>
      <c r="CG52" s="25" t="s">
        <v>29</v>
      </c>
      <c r="CH52" s="19">
        <v>8.5</v>
      </c>
      <c r="CI52" s="16">
        <f>CH52*0.95</f>
        <v>8.0749999999999993</v>
      </c>
      <c r="CJ52" s="15" t="s">
        <v>45</v>
      </c>
    </row>
    <row r="53" spans="1:88" x14ac:dyDescent="0.2">
      <c r="A53" s="16"/>
      <c r="B53" s="16" t="s">
        <v>46</v>
      </c>
      <c r="C53" s="16" t="s">
        <v>29</v>
      </c>
      <c r="D53" s="16">
        <v>5</v>
      </c>
      <c r="E53" s="16">
        <f t="shared" si="5"/>
        <v>4.75</v>
      </c>
      <c r="F53" s="16">
        <v>35</v>
      </c>
      <c r="G53" s="16"/>
      <c r="H53" s="16"/>
      <c r="I53" s="16"/>
      <c r="J53" s="16" t="s">
        <v>46</v>
      </c>
      <c r="K53" s="16" t="s">
        <v>29</v>
      </c>
      <c r="L53" s="16">
        <v>5</v>
      </c>
      <c r="M53" s="16">
        <f t="shared" si="6"/>
        <v>4.75</v>
      </c>
      <c r="N53" s="16">
        <v>35</v>
      </c>
      <c r="O53" s="16"/>
      <c r="P53" s="16"/>
      <c r="R53" s="15" t="s">
        <v>46</v>
      </c>
      <c r="S53" s="15" t="s">
        <v>29</v>
      </c>
      <c r="T53" s="15">
        <v>5</v>
      </c>
      <c r="U53" s="15">
        <f t="shared" si="3"/>
        <v>4.75</v>
      </c>
      <c r="V53" s="26">
        <v>35</v>
      </c>
      <c r="W53" s="26"/>
      <c r="X53" s="26"/>
      <c r="Z53" s="15" t="s">
        <v>46</v>
      </c>
      <c r="AA53" s="15" t="s">
        <v>29</v>
      </c>
      <c r="AB53" s="15">
        <v>5</v>
      </c>
      <c r="AC53" s="15">
        <f t="shared" si="4"/>
        <v>4.75</v>
      </c>
      <c r="AD53" s="15">
        <v>35</v>
      </c>
      <c r="CF53" s="15" t="s">
        <v>46</v>
      </c>
      <c r="CG53" s="15" t="s">
        <v>29</v>
      </c>
      <c r="CH53" s="15">
        <v>5</v>
      </c>
      <c r="CI53" s="15">
        <f t="shared" si="0"/>
        <v>4.75</v>
      </c>
      <c r="CJ53" s="15">
        <v>35</v>
      </c>
    </row>
    <row r="54" spans="1:88" x14ac:dyDescent="0.2">
      <c r="A54" s="16"/>
      <c r="B54" s="16" t="s">
        <v>48</v>
      </c>
      <c r="C54" s="16" t="s">
        <v>49</v>
      </c>
      <c r="D54" s="16">
        <v>6</v>
      </c>
      <c r="E54" s="16">
        <f t="shared" si="5"/>
        <v>5.6999999999999993</v>
      </c>
      <c r="F54" s="16">
        <v>35</v>
      </c>
      <c r="G54" s="16">
        <f>SUM(D7:D53)</f>
        <v>234.5</v>
      </c>
      <c r="H54" s="16"/>
      <c r="I54" s="16"/>
      <c r="J54" s="16" t="s">
        <v>48</v>
      </c>
      <c r="K54" s="16" t="s">
        <v>49</v>
      </c>
      <c r="L54" s="16">
        <v>6</v>
      </c>
      <c r="M54" s="16">
        <f t="shared" si="6"/>
        <v>5.6999999999999993</v>
      </c>
      <c r="N54" s="16">
        <v>35</v>
      </c>
      <c r="O54" s="16">
        <f>SUM(L7:L53)</f>
        <v>230.5</v>
      </c>
      <c r="P54" s="16"/>
      <c r="R54" s="15" t="s">
        <v>48</v>
      </c>
      <c r="S54" s="15" t="s">
        <v>49</v>
      </c>
      <c r="T54" s="15">
        <v>6</v>
      </c>
      <c r="U54" s="15">
        <f t="shared" si="3"/>
        <v>5.6999999999999993</v>
      </c>
      <c r="V54" s="26">
        <v>35</v>
      </c>
      <c r="W54" s="26">
        <f>SUM(T7:T53)</f>
        <v>227.5</v>
      </c>
      <c r="X54" s="26"/>
      <c r="Z54" s="15" t="s">
        <v>48</v>
      </c>
      <c r="AA54" s="15" t="s">
        <v>49</v>
      </c>
      <c r="AB54" s="15">
        <v>6</v>
      </c>
      <c r="AC54" s="15">
        <f t="shared" si="4"/>
        <v>5.6999999999999993</v>
      </c>
      <c r="AD54" s="15">
        <v>35</v>
      </c>
      <c r="AE54" s="15">
        <f>SUM(AB7:AB53)</f>
        <v>232.5</v>
      </c>
      <c r="CF54" s="15" t="s">
        <v>48</v>
      </c>
      <c r="CG54" s="15" t="s">
        <v>49</v>
      </c>
      <c r="CH54" s="15">
        <v>6</v>
      </c>
      <c r="CI54" s="15">
        <f t="shared" si="0"/>
        <v>5.6999999999999993</v>
      </c>
      <c r="CJ54" s="15">
        <v>35</v>
      </c>
    </row>
    <row r="55" spans="1:88" x14ac:dyDescent="0.2">
      <c r="A55" s="16"/>
      <c r="B55" s="16" t="s">
        <v>51</v>
      </c>
      <c r="C55" s="16" t="s">
        <v>29</v>
      </c>
      <c r="D55" s="16">
        <v>6</v>
      </c>
      <c r="E55" s="27">
        <f t="shared" si="5"/>
        <v>5.6999999999999993</v>
      </c>
      <c r="F55" s="16">
        <v>35</v>
      </c>
      <c r="G55" s="16"/>
      <c r="H55" s="16"/>
      <c r="I55" s="16"/>
      <c r="J55" s="16" t="s">
        <v>51</v>
      </c>
      <c r="K55" s="16" t="s">
        <v>29</v>
      </c>
      <c r="L55" s="16">
        <v>4</v>
      </c>
      <c r="M55" s="27">
        <f t="shared" si="6"/>
        <v>3.8</v>
      </c>
      <c r="N55" s="16">
        <v>35</v>
      </c>
      <c r="O55" s="16"/>
      <c r="P55" s="16"/>
      <c r="R55" s="15" t="s">
        <v>51</v>
      </c>
      <c r="S55" s="15" t="s">
        <v>29</v>
      </c>
      <c r="T55" s="15">
        <v>8</v>
      </c>
      <c r="U55" s="28">
        <f t="shared" si="3"/>
        <v>7.6</v>
      </c>
      <c r="V55" s="26">
        <v>35</v>
      </c>
      <c r="W55" s="26"/>
      <c r="X55" s="26"/>
      <c r="Z55" s="15" t="s">
        <v>51</v>
      </c>
      <c r="AA55" s="15" t="s">
        <v>29</v>
      </c>
      <c r="AB55" s="15">
        <v>8</v>
      </c>
      <c r="AC55" s="28">
        <f t="shared" si="4"/>
        <v>7.6</v>
      </c>
      <c r="AD55" s="15">
        <v>35</v>
      </c>
      <c r="CF55" s="15" t="s">
        <v>51</v>
      </c>
      <c r="CG55" s="15" t="s">
        <v>29</v>
      </c>
      <c r="CH55" s="15">
        <v>4</v>
      </c>
      <c r="CI55" s="28">
        <f t="shared" si="0"/>
        <v>3.8</v>
      </c>
      <c r="CJ55" s="15">
        <v>35</v>
      </c>
    </row>
    <row r="56" spans="1:88" x14ac:dyDescent="0.2">
      <c r="A56" s="16" t="s">
        <v>69</v>
      </c>
      <c r="B56" s="16"/>
      <c r="C56" s="16"/>
      <c r="D56" s="16">
        <v>1</v>
      </c>
      <c r="E56" s="16">
        <v>0.95</v>
      </c>
      <c r="F56" s="16"/>
      <c r="G56" s="16"/>
      <c r="H56" s="16"/>
      <c r="I56" s="16" t="s">
        <v>69</v>
      </c>
      <c r="J56" s="16"/>
      <c r="K56" s="16"/>
      <c r="L56" s="16">
        <v>1</v>
      </c>
      <c r="M56" s="16">
        <v>0.95</v>
      </c>
      <c r="N56" s="16"/>
      <c r="O56" s="16"/>
      <c r="P56" s="16"/>
      <c r="Q56" s="15" t="s">
        <v>69</v>
      </c>
      <c r="T56" s="15">
        <v>1</v>
      </c>
      <c r="U56" s="15">
        <v>0.95</v>
      </c>
      <c r="V56" s="26"/>
      <c r="W56" s="26"/>
      <c r="X56" s="26"/>
      <c r="Y56" s="15" t="s">
        <v>69</v>
      </c>
      <c r="AB56" s="15">
        <v>1</v>
      </c>
      <c r="AC56" s="15">
        <v>0.95</v>
      </c>
      <c r="CE56" s="15" t="s">
        <v>69</v>
      </c>
      <c r="CF56" s="15" t="s">
        <v>33</v>
      </c>
      <c r="CG56" s="15" t="s">
        <v>29</v>
      </c>
      <c r="CH56" s="15">
        <v>1</v>
      </c>
      <c r="CI56" s="15">
        <f t="shared" si="0"/>
        <v>0.95</v>
      </c>
      <c r="CJ56" s="15">
        <v>35</v>
      </c>
    </row>
    <row r="57" spans="1:88" x14ac:dyDescent="0.2">
      <c r="A57" s="16" t="s">
        <v>37</v>
      </c>
      <c r="B57" s="16" t="s">
        <v>35</v>
      </c>
      <c r="C57" s="7" t="s">
        <v>36</v>
      </c>
      <c r="D57" s="16">
        <v>5</v>
      </c>
      <c r="E57" s="16">
        <f t="shared" si="5"/>
        <v>4.75</v>
      </c>
      <c r="F57" s="16">
        <v>35</v>
      </c>
      <c r="G57" s="16"/>
      <c r="H57" s="16"/>
      <c r="I57" s="16" t="s">
        <v>34</v>
      </c>
      <c r="J57" s="16" t="s">
        <v>35</v>
      </c>
      <c r="K57" s="22">
        <v>0.15</v>
      </c>
      <c r="L57" s="16">
        <v>5</v>
      </c>
      <c r="M57" s="16">
        <f t="shared" si="6"/>
        <v>4.75</v>
      </c>
      <c r="N57" s="16">
        <v>35</v>
      </c>
      <c r="O57" s="16"/>
      <c r="P57" s="16"/>
      <c r="Q57" s="15" t="s">
        <v>34</v>
      </c>
      <c r="R57" s="15" t="s">
        <v>35</v>
      </c>
      <c r="S57" s="23">
        <v>0.81</v>
      </c>
      <c r="T57" s="15">
        <v>5</v>
      </c>
      <c r="U57" s="15">
        <f t="shared" si="3"/>
        <v>4.75</v>
      </c>
      <c r="V57" s="26">
        <v>35</v>
      </c>
      <c r="W57" s="26"/>
      <c r="X57" s="26"/>
      <c r="Y57" s="15" t="s">
        <v>37</v>
      </c>
      <c r="Z57" s="15" t="s">
        <v>35</v>
      </c>
      <c r="AA57" s="23">
        <v>0.92</v>
      </c>
      <c r="AB57" s="15">
        <v>5</v>
      </c>
      <c r="AC57" s="15">
        <f t="shared" si="4"/>
        <v>4.75</v>
      </c>
      <c r="AD57" s="15">
        <v>35</v>
      </c>
      <c r="CF57" s="15" t="s">
        <v>35</v>
      </c>
      <c r="CG57" s="23">
        <v>0.08</v>
      </c>
      <c r="CH57" s="15">
        <v>5</v>
      </c>
      <c r="CI57" s="15">
        <f t="shared" si="0"/>
        <v>4.75</v>
      </c>
      <c r="CJ57" s="15">
        <v>35</v>
      </c>
    </row>
    <row r="58" spans="1:88" x14ac:dyDescent="0.2">
      <c r="A58" s="16"/>
      <c r="B58" s="16" t="s">
        <v>40</v>
      </c>
      <c r="C58" s="16" t="s">
        <v>29</v>
      </c>
      <c r="D58" s="16">
        <v>4</v>
      </c>
      <c r="E58" s="16">
        <f t="shared" si="5"/>
        <v>3.8</v>
      </c>
      <c r="F58" s="16">
        <v>35</v>
      </c>
      <c r="G58" s="16"/>
      <c r="H58" s="16"/>
      <c r="I58" s="16"/>
      <c r="J58" s="16" t="s">
        <v>40</v>
      </c>
      <c r="K58" s="16" t="s">
        <v>29</v>
      </c>
      <c r="L58" s="16">
        <v>4</v>
      </c>
      <c r="M58" s="16">
        <f t="shared" si="6"/>
        <v>3.8</v>
      </c>
      <c r="N58" s="16">
        <v>35</v>
      </c>
      <c r="O58" s="16"/>
      <c r="P58" s="16"/>
      <c r="R58" s="15" t="s">
        <v>40</v>
      </c>
      <c r="S58" s="15" t="s">
        <v>29</v>
      </c>
      <c r="T58" s="15">
        <v>4</v>
      </c>
      <c r="U58" s="15">
        <f t="shared" si="3"/>
        <v>3.8</v>
      </c>
      <c r="V58" s="26">
        <v>35</v>
      </c>
      <c r="W58" s="26"/>
      <c r="X58" s="26"/>
      <c r="Z58" s="15" t="s">
        <v>40</v>
      </c>
      <c r="AA58" s="15" t="s">
        <v>29</v>
      </c>
      <c r="AB58" s="15">
        <v>4</v>
      </c>
      <c r="AC58" s="15">
        <f t="shared" si="4"/>
        <v>3.8</v>
      </c>
      <c r="AD58" s="15">
        <v>35</v>
      </c>
      <c r="CF58" s="15" t="s">
        <v>40</v>
      </c>
      <c r="CG58" s="15" t="s">
        <v>29</v>
      </c>
      <c r="CH58" s="15">
        <v>2</v>
      </c>
      <c r="CI58" s="15">
        <f t="shared" si="0"/>
        <v>1.9</v>
      </c>
      <c r="CJ58" s="15">
        <v>35</v>
      </c>
    </row>
    <row r="59" spans="1:88" x14ac:dyDescent="0.2">
      <c r="A59" s="16"/>
      <c r="B59" s="19" t="s">
        <v>42</v>
      </c>
      <c r="C59" s="19" t="s">
        <v>29</v>
      </c>
      <c r="D59" s="19">
        <v>8.5</v>
      </c>
      <c r="E59" s="16">
        <f>D59*0.95</f>
        <v>8.0749999999999993</v>
      </c>
      <c r="F59" s="24">
        <v>45</v>
      </c>
      <c r="G59" s="16"/>
      <c r="H59" s="16"/>
      <c r="I59" s="16"/>
      <c r="J59" s="19" t="s">
        <v>42</v>
      </c>
      <c r="K59" s="19" t="s">
        <v>29</v>
      </c>
      <c r="L59" s="19">
        <v>8.5</v>
      </c>
      <c r="M59" s="16">
        <f>L59*0.95</f>
        <v>8.0749999999999993</v>
      </c>
      <c r="N59" s="24">
        <v>45</v>
      </c>
      <c r="O59" s="16"/>
      <c r="P59" s="16"/>
      <c r="R59" s="25" t="s">
        <v>42</v>
      </c>
      <c r="S59" s="25" t="s">
        <v>29</v>
      </c>
      <c r="T59" s="19">
        <v>8.5</v>
      </c>
      <c r="U59" s="16">
        <f>T59*0.95</f>
        <v>8.0749999999999993</v>
      </c>
      <c r="V59" s="19" t="s">
        <v>43</v>
      </c>
      <c r="W59" s="21"/>
      <c r="X59" s="21"/>
      <c r="Z59" s="25" t="s">
        <v>42</v>
      </c>
      <c r="AA59" s="25" t="s">
        <v>29</v>
      </c>
      <c r="AB59" s="19">
        <v>8.5</v>
      </c>
      <c r="AC59" s="16">
        <f>AB59*0.95</f>
        <v>8.0749999999999993</v>
      </c>
      <c r="AD59" s="25" t="s">
        <v>57</v>
      </c>
      <c r="CF59" s="25" t="s">
        <v>42</v>
      </c>
      <c r="CG59" s="25" t="s">
        <v>29</v>
      </c>
      <c r="CH59" s="19">
        <v>8.5</v>
      </c>
      <c r="CI59" s="16">
        <f>CH59*0.95</f>
        <v>8.0749999999999993</v>
      </c>
      <c r="CJ59" s="15" t="s">
        <v>45</v>
      </c>
    </row>
    <row r="60" spans="1:88" x14ac:dyDescent="0.2">
      <c r="A60" s="16"/>
      <c r="B60" s="16" t="s">
        <v>46</v>
      </c>
      <c r="C60" s="16" t="s">
        <v>29</v>
      </c>
      <c r="D60" s="16">
        <v>5</v>
      </c>
      <c r="E60" s="16">
        <f t="shared" si="5"/>
        <v>4.75</v>
      </c>
      <c r="F60" s="16">
        <v>35</v>
      </c>
      <c r="G60" s="16"/>
      <c r="H60" s="16"/>
      <c r="I60" s="16"/>
      <c r="J60" s="16" t="s">
        <v>46</v>
      </c>
      <c r="K60" s="16" t="s">
        <v>29</v>
      </c>
      <c r="L60" s="16">
        <v>5</v>
      </c>
      <c r="M60" s="16">
        <f t="shared" si="6"/>
        <v>4.75</v>
      </c>
      <c r="N60" s="16">
        <v>35</v>
      </c>
      <c r="O60" s="16"/>
      <c r="P60" s="16"/>
      <c r="R60" s="15" t="s">
        <v>46</v>
      </c>
      <c r="S60" s="15" t="s">
        <v>29</v>
      </c>
      <c r="T60" s="15">
        <v>5</v>
      </c>
      <c r="U60" s="15">
        <f t="shared" si="3"/>
        <v>4.75</v>
      </c>
      <c r="V60" s="26">
        <v>35</v>
      </c>
      <c r="W60" s="26"/>
      <c r="X60" s="26"/>
      <c r="Z60" s="15" t="s">
        <v>46</v>
      </c>
      <c r="AA60" s="15" t="s">
        <v>29</v>
      </c>
      <c r="AB60" s="15">
        <v>5</v>
      </c>
      <c r="AC60" s="15">
        <f t="shared" si="4"/>
        <v>4.75</v>
      </c>
      <c r="AD60" s="15">
        <v>35</v>
      </c>
      <c r="CF60" s="15" t="s">
        <v>46</v>
      </c>
      <c r="CG60" s="15" t="s">
        <v>29</v>
      </c>
      <c r="CH60" s="15">
        <v>5</v>
      </c>
      <c r="CI60" s="15">
        <f t="shared" si="0"/>
        <v>4.75</v>
      </c>
      <c r="CJ60" s="15">
        <v>35</v>
      </c>
    </row>
    <row r="61" spans="1:88" x14ac:dyDescent="0.2">
      <c r="A61" s="16"/>
      <c r="B61" s="16" t="s">
        <v>48</v>
      </c>
      <c r="C61" s="16" t="s">
        <v>49</v>
      </c>
      <c r="D61" s="16">
        <v>6</v>
      </c>
      <c r="E61" s="16">
        <f t="shared" si="5"/>
        <v>5.6999999999999993</v>
      </c>
      <c r="F61" s="16">
        <v>35</v>
      </c>
      <c r="G61" s="16">
        <f>SUM(D7:D60)</f>
        <v>270</v>
      </c>
      <c r="H61" s="16"/>
      <c r="I61" s="16"/>
      <c r="J61" s="16" t="s">
        <v>48</v>
      </c>
      <c r="K61" s="16" t="s">
        <v>49</v>
      </c>
      <c r="L61" s="16">
        <v>6</v>
      </c>
      <c r="M61" s="16">
        <f t="shared" si="6"/>
        <v>5.6999999999999993</v>
      </c>
      <c r="N61" s="16">
        <v>35</v>
      </c>
      <c r="O61" s="16">
        <f>SUM(L7:L60)</f>
        <v>264</v>
      </c>
      <c r="P61" s="16"/>
      <c r="R61" s="15" t="s">
        <v>48</v>
      </c>
      <c r="S61" s="15" t="s">
        <v>49</v>
      </c>
      <c r="T61" s="15">
        <v>6</v>
      </c>
      <c r="U61" s="15">
        <f t="shared" si="3"/>
        <v>5.6999999999999993</v>
      </c>
      <c r="V61" s="26">
        <v>35</v>
      </c>
      <c r="W61" s="26">
        <f>SUM(T7:T60)</f>
        <v>265</v>
      </c>
      <c r="X61" s="26"/>
      <c r="Z61" s="15" t="s">
        <v>48</v>
      </c>
      <c r="AA61" s="15" t="s">
        <v>49</v>
      </c>
      <c r="AB61" s="15">
        <v>6</v>
      </c>
      <c r="AC61" s="15">
        <f t="shared" si="4"/>
        <v>5.6999999999999993</v>
      </c>
      <c r="AD61" s="15">
        <v>35</v>
      </c>
      <c r="AE61" s="15">
        <f>SUM(AB7:AB60)</f>
        <v>270</v>
      </c>
      <c r="CF61" s="15" t="s">
        <v>48</v>
      </c>
      <c r="CG61" s="15" t="s">
        <v>49</v>
      </c>
      <c r="CH61" s="15">
        <v>6</v>
      </c>
      <c r="CI61" s="15">
        <f t="shared" si="0"/>
        <v>5.6999999999999993</v>
      </c>
      <c r="CJ61" s="15">
        <v>35</v>
      </c>
    </row>
    <row r="62" spans="1:88" x14ac:dyDescent="0.2">
      <c r="A62" s="16"/>
      <c r="B62" s="16" t="s">
        <v>51</v>
      </c>
      <c r="C62" s="16" t="s">
        <v>29</v>
      </c>
      <c r="D62" s="16">
        <v>5</v>
      </c>
      <c r="E62" s="31">
        <f t="shared" si="5"/>
        <v>4.75</v>
      </c>
      <c r="F62" s="16">
        <v>35</v>
      </c>
      <c r="G62" s="16"/>
      <c r="H62" s="16"/>
      <c r="I62" s="16"/>
      <c r="J62" s="16" t="s">
        <v>51</v>
      </c>
      <c r="K62" s="16" t="s">
        <v>29</v>
      </c>
      <c r="L62" s="16">
        <v>7</v>
      </c>
      <c r="M62" s="31">
        <f t="shared" si="6"/>
        <v>6.6499999999999995</v>
      </c>
      <c r="N62" s="16">
        <v>35</v>
      </c>
      <c r="O62" s="16"/>
      <c r="P62" s="16"/>
      <c r="R62" s="15" t="s">
        <v>51</v>
      </c>
      <c r="S62" s="15" t="s">
        <v>29</v>
      </c>
      <c r="T62" s="15">
        <v>4</v>
      </c>
      <c r="U62" s="28">
        <f t="shared" si="3"/>
        <v>3.8</v>
      </c>
      <c r="V62" s="26">
        <v>35</v>
      </c>
      <c r="W62" s="26"/>
      <c r="X62" s="26"/>
      <c r="Z62" s="15" t="s">
        <v>51</v>
      </c>
      <c r="AA62" s="15" t="s">
        <v>29</v>
      </c>
      <c r="AB62" s="15">
        <v>2</v>
      </c>
      <c r="AC62" s="28">
        <f t="shared" si="4"/>
        <v>1.9</v>
      </c>
      <c r="AD62" s="15">
        <v>35</v>
      </c>
      <c r="CF62" s="15" t="s">
        <v>51</v>
      </c>
      <c r="CG62" s="15" t="s">
        <v>29</v>
      </c>
      <c r="CH62" s="15">
        <v>2</v>
      </c>
      <c r="CI62" s="28">
        <f t="shared" si="0"/>
        <v>1.9</v>
      </c>
      <c r="CJ62" s="15">
        <v>35</v>
      </c>
    </row>
    <row r="63" spans="1:88" x14ac:dyDescent="0.2">
      <c r="A63" s="16" t="s">
        <v>70</v>
      </c>
      <c r="B63" s="16"/>
      <c r="C63" s="16"/>
      <c r="D63" s="16">
        <v>1</v>
      </c>
      <c r="E63" s="16">
        <v>0.95</v>
      </c>
      <c r="F63" s="16"/>
      <c r="G63" s="16"/>
      <c r="H63" s="16"/>
      <c r="I63" s="16" t="s">
        <v>70</v>
      </c>
      <c r="J63" s="16"/>
      <c r="K63" s="16"/>
      <c r="L63" s="16">
        <v>1</v>
      </c>
      <c r="M63" s="16">
        <v>0.95</v>
      </c>
      <c r="N63" s="16"/>
      <c r="O63" s="16"/>
      <c r="P63" s="16"/>
      <c r="Q63" s="15" t="s">
        <v>70</v>
      </c>
      <c r="T63" s="15">
        <v>1</v>
      </c>
      <c r="U63" s="15">
        <v>0.95</v>
      </c>
      <c r="V63" s="26"/>
      <c r="W63" s="26"/>
      <c r="X63" s="26"/>
      <c r="Y63" s="32" t="s">
        <v>70</v>
      </c>
      <c r="Z63" s="32"/>
      <c r="AA63" s="32"/>
      <c r="AB63" s="32">
        <v>1</v>
      </c>
      <c r="AC63" s="32">
        <v>0.95</v>
      </c>
      <c r="AD63" s="32"/>
      <c r="AE63" s="32"/>
      <c r="CE63" s="33" t="s">
        <v>70</v>
      </c>
      <c r="CF63" s="33" t="s">
        <v>33</v>
      </c>
      <c r="CG63" s="33" t="s">
        <v>29</v>
      </c>
      <c r="CH63" s="33">
        <v>40</v>
      </c>
      <c r="CI63" s="15">
        <f t="shared" si="0"/>
        <v>38</v>
      </c>
      <c r="CJ63" s="33">
        <v>35</v>
      </c>
    </row>
    <row r="64" spans="1:88" x14ac:dyDescent="0.2">
      <c r="A64" s="16" t="s">
        <v>34</v>
      </c>
      <c r="B64" s="16" t="s">
        <v>35</v>
      </c>
      <c r="C64" s="7" t="s">
        <v>36</v>
      </c>
      <c r="D64" s="16">
        <v>5</v>
      </c>
      <c r="E64" s="16">
        <f t="shared" si="5"/>
        <v>4.75</v>
      </c>
      <c r="F64" s="16">
        <v>35</v>
      </c>
      <c r="G64" s="4"/>
      <c r="H64" s="4"/>
      <c r="I64" s="16" t="s">
        <v>37</v>
      </c>
      <c r="J64" s="16" t="s">
        <v>35</v>
      </c>
      <c r="K64" s="22">
        <v>0.9</v>
      </c>
      <c r="L64" s="16">
        <v>5</v>
      </c>
      <c r="M64" s="16">
        <f t="shared" si="6"/>
        <v>4.75</v>
      </c>
      <c r="N64" s="16">
        <v>35</v>
      </c>
      <c r="O64" s="16"/>
      <c r="P64" s="16"/>
      <c r="Q64" s="15" t="s">
        <v>37</v>
      </c>
      <c r="R64" s="15" t="s">
        <v>35</v>
      </c>
      <c r="S64" s="23">
        <v>0.84</v>
      </c>
      <c r="T64" s="15">
        <v>5</v>
      </c>
      <c r="U64" s="15">
        <f t="shared" si="3"/>
        <v>4.75</v>
      </c>
      <c r="V64" s="26">
        <v>35</v>
      </c>
      <c r="W64" s="26"/>
      <c r="X64" s="26"/>
      <c r="Y64" s="15" t="s">
        <v>37</v>
      </c>
      <c r="Z64" s="15" t="s">
        <v>35</v>
      </c>
      <c r="AA64" s="23">
        <v>0.83</v>
      </c>
      <c r="AB64" s="15">
        <v>5</v>
      </c>
      <c r="AC64" s="15">
        <f t="shared" si="4"/>
        <v>4.75</v>
      </c>
      <c r="AD64" s="15">
        <v>35</v>
      </c>
      <c r="CF64" s="15" t="s">
        <v>35</v>
      </c>
      <c r="CG64" s="23">
        <v>0.5</v>
      </c>
      <c r="CH64" s="15">
        <v>5</v>
      </c>
      <c r="CI64" s="15">
        <f t="shared" si="0"/>
        <v>4.75</v>
      </c>
      <c r="CJ64" s="15">
        <v>35</v>
      </c>
    </row>
    <row r="65" spans="1:88" x14ac:dyDescent="0.2">
      <c r="A65" s="16"/>
      <c r="B65" s="16" t="s">
        <v>40</v>
      </c>
      <c r="C65" s="16" t="s">
        <v>29</v>
      </c>
      <c r="D65" s="16">
        <v>4</v>
      </c>
      <c r="E65" s="16">
        <f t="shared" si="5"/>
        <v>3.8</v>
      </c>
      <c r="F65" s="16">
        <v>35</v>
      </c>
      <c r="G65" s="16"/>
      <c r="H65" s="16"/>
      <c r="I65" s="16"/>
      <c r="J65" s="16" t="s">
        <v>40</v>
      </c>
      <c r="K65" s="16" t="s">
        <v>29</v>
      </c>
      <c r="L65" s="16">
        <v>4</v>
      </c>
      <c r="M65" s="16">
        <f t="shared" si="6"/>
        <v>3.8</v>
      </c>
      <c r="N65" s="16">
        <v>35</v>
      </c>
      <c r="O65" s="16"/>
      <c r="P65" s="16"/>
      <c r="R65" s="15" t="s">
        <v>40</v>
      </c>
      <c r="S65" s="15" t="s">
        <v>29</v>
      </c>
      <c r="T65" s="15">
        <v>4</v>
      </c>
      <c r="U65" s="15">
        <f t="shared" si="3"/>
        <v>3.8</v>
      </c>
      <c r="V65" s="26">
        <v>35</v>
      </c>
      <c r="W65" s="26"/>
      <c r="X65" s="26"/>
      <c r="Z65" s="15" t="s">
        <v>40</v>
      </c>
      <c r="AA65" s="15" t="s">
        <v>29</v>
      </c>
      <c r="AB65" s="15">
        <v>4</v>
      </c>
      <c r="AC65" s="15">
        <f t="shared" si="4"/>
        <v>3.8</v>
      </c>
      <c r="AD65" s="15">
        <v>35</v>
      </c>
      <c r="CF65" s="15" t="s">
        <v>40</v>
      </c>
      <c r="CG65" s="15" t="s">
        <v>29</v>
      </c>
      <c r="CH65" s="15">
        <v>2</v>
      </c>
      <c r="CI65" s="15">
        <f t="shared" si="0"/>
        <v>1.9</v>
      </c>
      <c r="CJ65" s="15">
        <v>35</v>
      </c>
    </row>
    <row r="66" spans="1:88" x14ac:dyDescent="0.2">
      <c r="A66" s="16"/>
      <c r="B66" s="19" t="s">
        <v>42</v>
      </c>
      <c r="C66" s="19" t="s">
        <v>29</v>
      </c>
      <c r="D66" s="19">
        <v>8.5</v>
      </c>
      <c r="E66" s="16">
        <f>D66*0.95</f>
        <v>8.0749999999999993</v>
      </c>
      <c r="F66" s="24">
        <v>47</v>
      </c>
      <c r="G66" s="16"/>
      <c r="H66" s="16"/>
      <c r="I66" s="16"/>
      <c r="J66" s="19" t="s">
        <v>42</v>
      </c>
      <c r="K66" s="19" t="s">
        <v>29</v>
      </c>
      <c r="L66" s="19">
        <v>8.5</v>
      </c>
      <c r="M66" s="16">
        <f>L66*0.95</f>
        <v>8.0749999999999993</v>
      </c>
      <c r="N66" s="24">
        <v>47</v>
      </c>
      <c r="O66" s="16"/>
      <c r="P66" s="16"/>
      <c r="R66" s="25" t="s">
        <v>42</v>
      </c>
      <c r="S66" s="25" t="s">
        <v>29</v>
      </c>
      <c r="T66" s="19">
        <v>8.5</v>
      </c>
      <c r="U66" s="16">
        <f>T66*0.95</f>
        <v>8.0749999999999993</v>
      </c>
      <c r="V66" s="19" t="s">
        <v>57</v>
      </c>
      <c r="W66" s="21"/>
      <c r="X66" s="21"/>
      <c r="Z66" s="25" t="s">
        <v>42</v>
      </c>
      <c r="AA66" s="25" t="s">
        <v>29</v>
      </c>
      <c r="AB66" s="19">
        <v>8.5</v>
      </c>
      <c r="AC66" s="16">
        <f>AB66*0.95</f>
        <v>8.0749999999999993</v>
      </c>
      <c r="AD66" s="25" t="s">
        <v>43</v>
      </c>
      <c r="CF66" s="25" t="s">
        <v>42</v>
      </c>
      <c r="CG66" s="25" t="s">
        <v>29</v>
      </c>
      <c r="CH66" s="19">
        <v>8.5</v>
      </c>
      <c r="CI66" s="16">
        <f>CH66*0.95</f>
        <v>8.0749999999999993</v>
      </c>
      <c r="CJ66" s="15" t="s">
        <v>60</v>
      </c>
    </row>
    <row r="67" spans="1:88" x14ac:dyDescent="0.2">
      <c r="A67" s="16"/>
      <c r="B67" s="16" t="s">
        <v>46</v>
      </c>
      <c r="C67" s="16" t="s">
        <v>29</v>
      </c>
      <c r="D67" s="16">
        <v>5</v>
      </c>
      <c r="E67" s="16">
        <f t="shared" si="5"/>
        <v>4.75</v>
      </c>
      <c r="F67" s="16">
        <v>35</v>
      </c>
      <c r="G67" s="16"/>
      <c r="H67" s="16"/>
      <c r="I67" s="16"/>
      <c r="J67" s="16" t="s">
        <v>46</v>
      </c>
      <c r="K67" s="16" t="s">
        <v>29</v>
      </c>
      <c r="L67" s="16">
        <v>5</v>
      </c>
      <c r="M67" s="16">
        <f t="shared" si="6"/>
        <v>4.75</v>
      </c>
      <c r="N67" s="16">
        <v>35</v>
      </c>
      <c r="O67" s="16"/>
      <c r="P67" s="16"/>
      <c r="R67" s="15" t="s">
        <v>46</v>
      </c>
      <c r="S67" s="15" t="s">
        <v>29</v>
      </c>
      <c r="T67" s="15">
        <v>5</v>
      </c>
      <c r="U67" s="15">
        <f t="shared" si="3"/>
        <v>4.75</v>
      </c>
      <c r="V67" s="26">
        <v>35</v>
      </c>
      <c r="W67" s="26"/>
      <c r="X67" s="26"/>
      <c r="Z67" s="15" t="s">
        <v>46</v>
      </c>
      <c r="AA67" s="15" t="s">
        <v>29</v>
      </c>
      <c r="AB67" s="15">
        <v>5</v>
      </c>
      <c r="AC67" s="15">
        <f t="shared" si="4"/>
        <v>4.75</v>
      </c>
      <c r="AD67" s="15">
        <v>35</v>
      </c>
      <c r="CF67" s="15" t="s">
        <v>46</v>
      </c>
      <c r="CG67" s="15" t="s">
        <v>29</v>
      </c>
      <c r="CH67" s="15">
        <v>5</v>
      </c>
      <c r="CI67" s="15">
        <f t="shared" si="0"/>
        <v>4.75</v>
      </c>
      <c r="CJ67" s="15">
        <v>35</v>
      </c>
    </row>
    <row r="68" spans="1:88" x14ac:dyDescent="0.2">
      <c r="A68" s="16"/>
      <c r="B68" s="16" t="s">
        <v>48</v>
      </c>
      <c r="C68" s="16" t="s">
        <v>49</v>
      </c>
      <c r="D68" s="16">
        <v>6</v>
      </c>
      <c r="E68" s="16">
        <f t="shared" si="5"/>
        <v>5.6999999999999993</v>
      </c>
      <c r="F68" s="16">
        <v>35</v>
      </c>
      <c r="G68" s="16">
        <f>SUM(D7:D67)</f>
        <v>304.5</v>
      </c>
      <c r="H68" s="16"/>
      <c r="I68" s="16"/>
      <c r="J68" s="16" t="s">
        <v>48</v>
      </c>
      <c r="K68" s="16" t="s">
        <v>49</v>
      </c>
      <c r="L68" s="16">
        <v>6</v>
      </c>
      <c r="M68" s="16">
        <f t="shared" si="6"/>
        <v>5.6999999999999993</v>
      </c>
      <c r="N68" s="16">
        <v>35</v>
      </c>
      <c r="O68" s="16">
        <f>SUM(L7:L67)</f>
        <v>300.5</v>
      </c>
      <c r="P68" s="16"/>
      <c r="R68" s="15" t="s">
        <v>48</v>
      </c>
      <c r="S68" s="15" t="s">
        <v>49</v>
      </c>
      <c r="T68" s="15">
        <v>6</v>
      </c>
      <c r="U68" s="15">
        <f t="shared" si="3"/>
        <v>5.6999999999999993</v>
      </c>
      <c r="V68" s="26">
        <v>35</v>
      </c>
      <c r="W68" s="26">
        <f>SUM(T7:T67)</f>
        <v>298.5</v>
      </c>
      <c r="X68" s="26"/>
      <c r="Z68" s="15" t="s">
        <v>48</v>
      </c>
      <c r="AA68" s="15" t="s">
        <v>49</v>
      </c>
      <c r="AB68" s="15">
        <v>6</v>
      </c>
      <c r="AC68" s="15">
        <f t="shared" si="4"/>
        <v>5.6999999999999993</v>
      </c>
      <c r="AD68" s="15">
        <v>35</v>
      </c>
      <c r="AE68" s="15">
        <f>SUM(AB7:AB67)</f>
        <v>301.5</v>
      </c>
      <c r="CF68" s="15" t="s">
        <v>48</v>
      </c>
      <c r="CG68" s="15" t="s">
        <v>49</v>
      </c>
      <c r="CH68" s="15">
        <v>6</v>
      </c>
      <c r="CI68" s="15">
        <f t="shared" si="0"/>
        <v>5.6999999999999993</v>
      </c>
      <c r="CJ68" s="15">
        <v>35</v>
      </c>
    </row>
    <row r="69" spans="1:88" x14ac:dyDescent="0.2">
      <c r="A69" s="16"/>
      <c r="B69" s="16" t="s">
        <v>51</v>
      </c>
      <c r="C69" s="16" t="s">
        <v>29</v>
      </c>
      <c r="D69" s="16">
        <v>4</v>
      </c>
      <c r="E69" s="31">
        <f t="shared" ref="E69:E90" si="7">D69*0.95</f>
        <v>3.8</v>
      </c>
      <c r="F69" s="16">
        <v>35</v>
      </c>
      <c r="G69" s="16"/>
      <c r="H69" s="16"/>
      <c r="I69" s="16"/>
      <c r="J69" s="16" t="s">
        <v>51</v>
      </c>
      <c r="K69" s="16" t="s">
        <v>29</v>
      </c>
      <c r="L69" s="16">
        <v>5</v>
      </c>
      <c r="M69" s="31">
        <f t="shared" si="6"/>
        <v>4.75</v>
      </c>
      <c r="N69" s="16">
        <v>35</v>
      </c>
      <c r="O69" s="16"/>
      <c r="P69" s="16"/>
      <c r="R69" s="15" t="s">
        <v>51</v>
      </c>
      <c r="S69" s="15" t="s">
        <v>29</v>
      </c>
      <c r="T69" s="15">
        <v>2</v>
      </c>
      <c r="U69" s="28">
        <f t="shared" si="3"/>
        <v>1.9</v>
      </c>
      <c r="V69" s="26">
        <v>35</v>
      </c>
      <c r="W69" s="26"/>
      <c r="X69" s="26"/>
      <c r="Z69" s="15" t="s">
        <v>51</v>
      </c>
      <c r="AA69" s="15" t="s">
        <v>29</v>
      </c>
      <c r="AB69" s="15">
        <v>4</v>
      </c>
      <c r="AC69" s="28">
        <f t="shared" si="4"/>
        <v>3.8</v>
      </c>
      <c r="AD69" s="15">
        <v>35</v>
      </c>
      <c r="CF69" s="15" t="s">
        <v>51</v>
      </c>
      <c r="CG69" s="15" t="s">
        <v>29</v>
      </c>
      <c r="CH69" s="15">
        <v>4</v>
      </c>
      <c r="CI69" s="28">
        <f t="shared" si="0"/>
        <v>3.8</v>
      </c>
      <c r="CJ69" s="15">
        <v>35</v>
      </c>
    </row>
    <row r="70" spans="1:88" x14ac:dyDescent="0.2">
      <c r="A70" s="16" t="s">
        <v>71</v>
      </c>
      <c r="B70" s="16"/>
      <c r="C70" s="16"/>
      <c r="D70" s="16">
        <v>1</v>
      </c>
      <c r="E70" s="16">
        <v>0.95</v>
      </c>
      <c r="F70" s="16"/>
      <c r="G70" s="16"/>
      <c r="H70" s="16"/>
      <c r="I70" s="16" t="s">
        <v>71</v>
      </c>
      <c r="J70" s="16"/>
      <c r="K70" s="16"/>
      <c r="L70" s="16">
        <v>1</v>
      </c>
      <c r="M70" s="16">
        <v>0.95</v>
      </c>
      <c r="N70" s="16"/>
      <c r="O70" s="16"/>
      <c r="P70" s="16"/>
      <c r="Q70" s="32" t="s">
        <v>72</v>
      </c>
      <c r="R70" s="32"/>
      <c r="S70" s="32"/>
      <c r="T70" s="32">
        <v>1</v>
      </c>
      <c r="U70" s="15">
        <v>0.95</v>
      </c>
      <c r="V70" s="26"/>
      <c r="W70" s="26"/>
      <c r="X70" s="26"/>
      <c r="Y70" s="15" t="s">
        <v>72</v>
      </c>
      <c r="AB70" s="15">
        <v>1</v>
      </c>
      <c r="AC70" s="15">
        <v>0.95</v>
      </c>
      <c r="CE70" s="15" t="s">
        <v>72</v>
      </c>
      <c r="CF70" s="15" t="s">
        <v>33</v>
      </c>
      <c r="CG70" s="15" t="s">
        <v>29</v>
      </c>
      <c r="CH70" s="15">
        <v>1</v>
      </c>
      <c r="CI70" s="15">
        <f t="shared" si="0"/>
        <v>0.95</v>
      </c>
      <c r="CJ70" s="15">
        <v>35</v>
      </c>
    </row>
    <row r="71" spans="1:88" x14ac:dyDescent="0.2">
      <c r="A71" s="16" t="s">
        <v>34</v>
      </c>
      <c r="B71" s="16" t="s">
        <v>35</v>
      </c>
      <c r="C71" s="7" t="s">
        <v>36</v>
      </c>
      <c r="D71" s="16">
        <v>5</v>
      </c>
      <c r="E71" s="16">
        <f t="shared" si="7"/>
        <v>4.75</v>
      </c>
      <c r="F71" s="16">
        <v>35</v>
      </c>
      <c r="G71" s="16"/>
      <c r="H71" s="16"/>
      <c r="I71" s="16" t="s">
        <v>37</v>
      </c>
      <c r="J71" s="16" t="s">
        <v>35</v>
      </c>
      <c r="K71" s="22">
        <v>0.15</v>
      </c>
      <c r="L71" s="16">
        <v>5</v>
      </c>
      <c r="M71" s="16">
        <f t="shared" si="6"/>
        <v>4.75</v>
      </c>
      <c r="N71" s="16">
        <v>35</v>
      </c>
      <c r="O71" s="16"/>
      <c r="P71" s="16"/>
      <c r="Q71" s="15" t="s">
        <v>37</v>
      </c>
      <c r="R71" s="15" t="s">
        <v>35</v>
      </c>
      <c r="S71" s="23">
        <v>0.93</v>
      </c>
      <c r="T71" s="15">
        <v>5</v>
      </c>
      <c r="U71" s="15">
        <f t="shared" ref="U71:U96" si="8">T71*0.95</f>
        <v>4.75</v>
      </c>
      <c r="V71" s="26">
        <v>35</v>
      </c>
      <c r="W71" s="26"/>
      <c r="X71" s="26"/>
      <c r="Y71" s="15" t="s">
        <v>34</v>
      </c>
      <c r="Z71" s="15" t="s">
        <v>35</v>
      </c>
      <c r="AA71" s="23">
        <v>0.85</v>
      </c>
      <c r="AB71" s="15">
        <v>5</v>
      </c>
      <c r="AC71" s="15">
        <f t="shared" ref="AC71:AC89" si="9">AB71*0.95</f>
        <v>4.75</v>
      </c>
      <c r="AD71" s="15">
        <v>35</v>
      </c>
      <c r="CF71" s="15" t="s">
        <v>35</v>
      </c>
      <c r="CG71" s="23">
        <v>0.25</v>
      </c>
      <c r="CH71" s="15">
        <v>5</v>
      </c>
      <c r="CI71" s="15">
        <f t="shared" ref="CI71:CI89" si="10">CH71*0.95</f>
        <v>4.75</v>
      </c>
      <c r="CJ71" s="15">
        <v>35</v>
      </c>
    </row>
    <row r="72" spans="1:88" x14ac:dyDescent="0.2">
      <c r="A72" s="16"/>
      <c r="B72" s="16" t="s">
        <v>40</v>
      </c>
      <c r="C72" s="16" t="s">
        <v>29</v>
      </c>
      <c r="D72" s="16">
        <v>4</v>
      </c>
      <c r="E72" s="16">
        <f t="shared" si="7"/>
        <v>3.8</v>
      </c>
      <c r="F72" s="16">
        <v>35</v>
      </c>
      <c r="G72" s="16"/>
      <c r="H72" s="16"/>
      <c r="I72" s="16"/>
      <c r="J72" s="16" t="s">
        <v>40</v>
      </c>
      <c r="K72" s="16" t="s">
        <v>29</v>
      </c>
      <c r="L72" s="16">
        <v>4</v>
      </c>
      <c r="M72" s="16">
        <f t="shared" si="6"/>
        <v>3.8</v>
      </c>
      <c r="N72" s="16">
        <v>35</v>
      </c>
      <c r="O72" s="16"/>
      <c r="P72" s="16"/>
      <c r="R72" s="15" t="s">
        <v>40</v>
      </c>
      <c r="S72" s="15" t="s">
        <v>29</v>
      </c>
      <c r="T72" s="15">
        <v>4</v>
      </c>
      <c r="U72" s="15">
        <f t="shared" si="8"/>
        <v>3.8</v>
      </c>
      <c r="V72" s="26">
        <v>35</v>
      </c>
      <c r="W72" s="26"/>
      <c r="X72" s="26"/>
      <c r="Z72" s="15" t="s">
        <v>40</v>
      </c>
      <c r="AA72" s="15" t="s">
        <v>29</v>
      </c>
      <c r="AB72" s="15">
        <v>4</v>
      </c>
      <c r="AC72" s="15">
        <f t="shared" si="9"/>
        <v>3.8</v>
      </c>
      <c r="AD72" s="15">
        <v>35</v>
      </c>
      <c r="CF72" s="15" t="s">
        <v>40</v>
      </c>
      <c r="CG72" s="15" t="s">
        <v>29</v>
      </c>
      <c r="CH72" s="15">
        <v>2</v>
      </c>
      <c r="CI72" s="15">
        <f t="shared" si="10"/>
        <v>1.9</v>
      </c>
      <c r="CJ72" s="15">
        <v>35</v>
      </c>
    </row>
    <row r="73" spans="1:88" x14ac:dyDescent="0.2">
      <c r="A73" s="16"/>
      <c r="B73" s="19" t="s">
        <v>42</v>
      </c>
      <c r="C73" s="19" t="s">
        <v>29</v>
      </c>
      <c r="D73" s="19">
        <v>8.5</v>
      </c>
      <c r="E73" s="16">
        <f>D73*0.95</f>
        <v>8.0749999999999993</v>
      </c>
      <c r="F73" s="24">
        <v>45</v>
      </c>
      <c r="G73" s="16"/>
      <c r="H73" s="16"/>
      <c r="I73" s="16"/>
      <c r="J73" s="19" t="s">
        <v>42</v>
      </c>
      <c r="K73" s="19" t="s">
        <v>29</v>
      </c>
      <c r="L73" s="19">
        <v>8.5</v>
      </c>
      <c r="M73" s="16">
        <f>L73*0.95</f>
        <v>8.0749999999999993</v>
      </c>
      <c r="N73" s="24">
        <v>45</v>
      </c>
      <c r="O73" s="16"/>
      <c r="P73" s="16"/>
      <c r="R73" s="25" t="s">
        <v>42</v>
      </c>
      <c r="S73" s="25" t="s">
        <v>29</v>
      </c>
      <c r="T73" s="19">
        <v>8.5</v>
      </c>
      <c r="U73" s="16">
        <f>T73*0.95</f>
        <v>8.0749999999999993</v>
      </c>
      <c r="V73" s="19" t="s">
        <v>43</v>
      </c>
      <c r="W73" s="21"/>
      <c r="X73" s="21"/>
      <c r="Z73" s="25" t="s">
        <v>42</v>
      </c>
      <c r="AA73" s="25" t="s">
        <v>29</v>
      </c>
      <c r="AB73" s="19">
        <v>8.5</v>
      </c>
      <c r="AC73" s="16">
        <f>AB73*0.95</f>
        <v>8.0749999999999993</v>
      </c>
      <c r="AD73" s="25" t="s">
        <v>43</v>
      </c>
      <c r="CF73" s="25" t="s">
        <v>42</v>
      </c>
      <c r="CG73" s="25" t="s">
        <v>29</v>
      </c>
      <c r="CH73" s="19">
        <v>8.5</v>
      </c>
      <c r="CI73" s="16">
        <f>CH73*0.95</f>
        <v>8.0749999999999993</v>
      </c>
      <c r="CJ73" s="15" t="s">
        <v>60</v>
      </c>
    </row>
    <row r="74" spans="1:88" x14ac:dyDescent="0.2">
      <c r="A74" s="16"/>
      <c r="B74" s="16" t="s">
        <v>46</v>
      </c>
      <c r="C74" s="16" t="s">
        <v>29</v>
      </c>
      <c r="D74" s="16">
        <v>5</v>
      </c>
      <c r="E74" s="16">
        <f t="shared" si="7"/>
        <v>4.75</v>
      </c>
      <c r="F74" s="16">
        <v>35</v>
      </c>
      <c r="G74" s="16"/>
      <c r="H74" s="16"/>
      <c r="I74" s="16"/>
      <c r="J74" s="16" t="s">
        <v>46</v>
      </c>
      <c r="K74" s="16" t="s">
        <v>29</v>
      </c>
      <c r="L74" s="16">
        <v>5</v>
      </c>
      <c r="M74" s="16">
        <f t="shared" si="6"/>
        <v>4.75</v>
      </c>
      <c r="N74" s="16">
        <v>35</v>
      </c>
      <c r="O74" s="16"/>
      <c r="P74" s="16"/>
      <c r="R74" s="15" t="s">
        <v>46</v>
      </c>
      <c r="S74" s="15" t="s">
        <v>29</v>
      </c>
      <c r="T74" s="15">
        <v>5</v>
      </c>
      <c r="U74" s="15">
        <f t="shared" si="8"/>
        <v>4.75</v>
      </c>
      <c r="V74" s="26">
        <v>35</v>
      </c>
      <c r="W74" s="26"/>
      <c r="X74" s="26"/>
      <c r="Z74" s="15" t="s">
        <v>46</v>
      </c>
      <c r="AA74" s="15" t="s">
        <v>29</v>
      </c>
      <c r="AB74" s="15">
        <v>5</v>
      </c>
      <c r="AC74" s="15">
        <f t="shared" si="9"/>
        <v>4.75</v>
      </c>
      <c r="AD74" s="15">
        <v>35</v>
      </c>
      <c r="CF74" s="15" t="s">
        <v>46</v>
      </c>
      <c r="CG74" s="15" t="s">
        <v>29</v>
      </c>
      <c r="CH74" s="15">
        <v>5</v>
      </c>
      <c r="CI74" s="15">
        <f t="shared" si="10"/>
        <v>4.75</v>
      </c>
      <c r="CJ74" s="15">
        <v>35</v>
      </c>
    </row>
    <row r="75" spans="1:88" x14ac:dyDescent="0.2">
      <c r="A75" s="16"/>
      <c r="B75" s="16" t="s">
        <v>48</v>
      </c>
      <c r="C75" s="16" t="s">
        <v>49</v>
      </c>
      <c r="D75" s="16">
        <v>6</v>
      </c>
      <c r="E75" s="16">
        <f t="shared" si="7"/>
        <v>5.6999999999999993</v>
      </c>
      <c r="F75" s="16">
        <v>35</v>
      </c>
      <c r="G75" s="16">
        <f>SUM(D7:D74)</f>
        <v>338</v>
      </c>
      <c r="H75" s="16"/>
      <c r="I75" s="16"/>
      <c r="J75" s="16" t="s">
        <v>48</v>
      </c>
      <c r="K75" s="16" t="s">
        <v>49</v>
      </c>
      <c r="L75" s="16">
        <v>6</v>
      </c>
      <c r="M75" s="16">
        <f t="shared" si="6"/>
        <v>5.6999999999999993</v>
      </c>
      <c r="N75" s="16">
        <v>35</v>
      </c>
      <c r="O75" s="16">
        <f>SUM(L7:L74)</f>
        <v>335</v>
      </c>
      <c r="P75" s="16"/>
      <c r="R75" s="15" t="s">
        <v>48</v>
      </c>
      <c r="S75" s="15" t="s">
        <v>49</v>
      </c>
      <c r="T75" s="15">
        <v>6</v>
      </c>
      <c r="U75" s="15">
        <f t="shared" si="8"/>
        <v>5.6999999999999993</v>
      </c>
      <c r="V75" s="26">
        <v>35</v>
      </c>
      <c r="W75" s="26"/>
      <c r="X75" s="26"/>
      <c r="Z75" s="15" t="s">
        <v>48</v>
      </c>
      <c r="AA75" s="15" t="s">
        <v>49</v>
      </c>
      <c r="AB75" s="15">
        <v>6</v>
      </c>
      <c r="AC75" s="15">
        <f t="shared" si="9"/>
        <v>5.6999999999999993</v>
      </c>
      <c r="AD75" s="15">
        <v>35</v>
      </c>
      <c r="AE75" s="15">
        <f>SUM(AB7:AB74)</f>
        <v>335</v>
      </c>
      <c r="CF75" s="15" t="s">
        <v>48</v>
      </c>
      <c r="CG75" s="15" t="s">
        <v>49</v>
      </c>
      <c r="CH75" s="15">
        <v>6</v>
      </c>
      <c r="CI75" s="15">
        <f t="shared" si="10"/>
        <v>5.6999999999999993</v>
      </c>
      <c r="CJ75" s="15">
        <v>35</v>
      </c>
    </row>
    <row r="76" spans="1:88" x14ac:dyDescent="0.2">
      <c r="A76" s="16"/>
      <c r="B76" s="16" t="s">
        <v>51</v>
      </c>
      <c r="C76" s="16" t="s">
        <v>29</v>
      </c>
      <c r="D76" s="16">
        <v>7</v>
      </c>
      <c r="E76" s="31">
        <f t="shared" si="7"/>
        <v>6.6499999999999995</v>
      </c>
      <c r="F76" s="16">
        <v>35</v>
      </c>
      <c r="G76" s="16"/>
      <c r="H76" s="16"/>
      <c r="I76" s="16"/>
      <c r="J76" s="16" t="s">
        <v>51</v>
      </c>
      <c r="K76" s="16" t="s">
        <v>29</v>
      </c>
      <c r="L76" s="16">
        <v>3</v>
      </c>
      <c r="M76" s="31">
        <f t="shared" si="6"/>
        <v>2.8499999999999996</v>
      </c>
      <c r="N76" s="16">
        <v>35</v>
      </c>
      <c r="O76" s="16"/>
      <c r="P76" s="16"/>
      <c r="R76" s="15" t="s">
        <v>51</v>
      </c>
      <c r="S76" s="15" t="s">
        <v>29</v>
      </c>
      <c r="T76" s="15">
        <v>4</v>
      </c>
      <c r="U76" s="28">
        <f t="shared" si="8"/>
        <v>3.8</v>
      </c>
      <c r="V76" s="26">
        <v>35</v>
      </c>
      <c r="W76" s="26">
        <f>SUM(T7:T74)</f>
        <v>330</v>
      </c>
      <c r="X76" s="26"/>
      <c r="Z76" s="15" t="s">
        <v>51</v>
      </c>
      <c r="AA76" s="15" t="s">
        <v>29</v>
      </c>
      <c r="AB76" s="15">
        <v>4</v>
      </c>
      <c r="AC76" s="28">
        <f t="shared" si="9"/>
        <v>3.8</v>
      </c>
      <c r="AD76" s="15">
        <v>35</v>
      </c>
      <c r="CF76" s="15" t="s">
        <v>51</v>
      </c>
      <c r="CG76" s="15" t="s">
        <v>29</v>
      </c>
      <c r="CH76" s="15">
        <v>6</v>
      </c>
      <c r="CI76" s="28">
        <f t="shared" si="10"/>
        <v>5.6999999999999993</v>
      </c>
      <c r="CJ76" s="15">
        <v>35</v>
      </c>
    </row>
    <row r="77" spans="1:88" x14ac:dyDescent="0.2">
      <c r="A77" s="16" t="s">
        <v>73</v>
      </c>
      <c r="B77" s="16"/>
      <c r="C77" s="16"/>
      <c r="D77" s="16">
        <v>1</v>
      </c>
      <c r="E77" s="16">
        <v>0.95</v>
      </c>
      <c r="F77" s="16"/>
      <c r="G77" s="16"/>
      <c r="H77" s="16"/>
      <c r="I77" s="16" t="s">
        <v>73</v>
      </c>
      <c r="J77" s="16"/>
      <c r="K77" s="16"/>
      <c r="L77" s="16">
        <v>1</v>
      </c>
      <c r="M77" s="16">
        <v>0.95</v>
      </c>
      <c r="N77" s="16"/>
      <c r="O77" s="16"/>
      <c r="P77" s="16"/>
      <c r="Q77" s="15" t="s">
        <v>74</v>
      </c>
      <c r="T77" s="15">
        <v>1</v>
      </c>
      <c r="U77" s="15">
        <v>0.95</v>
      </c>
      <c r="V77" s="26"/>
      <c r="W77" s="26"/>
      <c r="X77" s="26"/>
      <c r="Y77" s="15" t="s">
        <v>74</v>
      </c>
      <c r="AB77" s="15">
        <v>1</v>
      </c>
      <c r="AC77" s="15">
        <v>0.95</v>
      </c>
      <c r="CE77" s="15" t="s">
        <v>74</v>
      </c>
      <c r="CF77" s="15" t="s">
        <v>33</v>
      </c>
      <c r="CG77" s="15" t="s">
        <v>29</v>
      </c>
      <c r="CH77" s="15">
        <v>1</v>
      </c>
      <c r="CI77" s="15">
        <f t="shared" si="10"/>
        <v>0.95</v>
      </c>
      <c r="CJ77" s="15">
        <v>35</v>
      </c>
    </row>
    <row r="78" spans="1:88" x14ac:dyDescent="0.2">
      <c r="A78" s="16" t="s">
        <v>37</v>
      </c>
      <c r="B78" s="16" t="s">
        <v>35</v>
      </c>
      <c r="C78" s="7" t="s">
        <v>36</v>
      </c>
      <c r="D78" s="16">
        <v>5</v>
      </c>
      <c r="E78" s="16">
        <f t="shared" si="7"/>
        <v>4.75</v>
      </c>
      <c r="F78" s="16">
        <v>35</v>
      </c>
      <c r="G78" s="16"/>
      <c r="H78" s="16"/>
      <c r="I78" s="16" t="s">
        <v>34</v>
      </c>
      <c r="J78" s="16" t="s">
        <v>35</v>
      </c>
      <c r="K78" s="22">
        <v>0.9</v>
      </c>
      <c r="L78" s="16">
        <v>5</v>
      </c>
      <c r="M78" s="16">
        <f t="shared" si="6"/>
        <v>4.75</v>
      </c>
      <c r="N78" s="16">
        <v>35</v>
      </c>
      <c r="O78" s="16"/>
      <c r="P78" s="16"/>
      <c r="Q78" s="15" t="s">
        <v>34</v>
      </c>
      <c r="R78" s="15" t="s">
        <v>35</v>
      </c>
      <c r="S78" s="23">
        <v>0.05</v>
      </c>
      <c r="T78" s="15">
        <v>5</v>
      </c>
      <c r="U78" s="15">
        <f t="shared" si="8"/>
        <v>4.75</v>
      </c>
      <c r="V78" s="26">
        <v>35</v>
      </c>
      <c r="W78" s="26"/>
      <c r="X78" s="26"/>
      <c r="Y78" s="15" t="s">
        <v>34</v>
      </c>
      <c r="Z78" s="15" t="s">
        <v>35</v>
      </c>
      <c r="AA78" s="23">
        <v>0.18</v>
      </c>
      <c r="AB78" s="15">
        <v>5</v>
      </c>
      <c r="AC78" s="15">
        <f t="shared" si="9"/>
        <v>4.75</v>
      </c>
      <c r="AD78" s="15">
        <v>35</v>
      </c>
      <c r="CF78" s="15" t="s">
        <v>35</v>
      </c>
      <c r="CG78" s="23">
        <v>0.8</v>
      </c>
      <c r="CH78" s="15">
        <v>5</v>
      </c>
      <c r="CI78" s="15">
        <f t="shared" si="10"/>
        <v>4.75</v>
      </c>
      <c r="CJ78" s="15">
        <v>35</v>
      </c>
    </row>
    <row r="79" spans="1:88" x14ac:dyDescent="0.2">
      <c r="A79" s="16"/>
      <c r="B79" s="16" t="s">
        <v>40</v>
      </c>
      <c r="C79" s="16" t="s">
        <v>29</v>
      </c>
      <c r="D79" s="16">
        <v>4</v>
      </c>
      <c r="E79" s="16">
        <f t="shared" si="7"/>
        <v>3.8</v>
      </c>
      <c r="F79" s="16">
        <v>35</v>
      </c>
      <c r="G79" s="16"/>
      <c r="H79" s="16"/>
      <c r="I79" s="16"/>
      <c r="J79" s="16" t="s">
        <v>40</v>
      </c>
      <c r="K79" s="16" t="s">
        <v>29</v>
      </c>
      <c r="L79" s="16">
        <v>4</v>
      </c>
      <c r="M79" s="16">
        <f t="shared" si="6"/>
        <v>3.8</v>
      </c>
      <c r="N79" s="16">
        <v>35</v>
      </c>
      <c r="O79" s="16"/>
      <c r="P79" s="16"/>
      <c r="R79" s="15" t="s">
        <v>40</v>
      </c>
      <c r="S79" s="15" t="s">
        <v>29</v>
      </c>
      <c r="T79" s="15">
        <v>4</v>
      </c>
      <c r="U79" s="15">
        <f t="shared" si="8"/>
        <v>3.8</v>
      </c>
      <c r="V79" s="26">
        <v>35</v>
      </c>
      <c r="W79" s="26"/>
      <c r="X79" s="26"/>
      <c r="Z79" s="15" t="s">
        <v>40</v>
      </c>
      <c r="AA79" s="15" t="s">
        <v>29</v>
      </c>
      <c r="AB79" s="15">
        <v>4</v>
      </c>
      <c r="AC79" s="15">
        <f t="shared" si="9"/>
        <v>3.8</v>
      </c>
      <c r="AD79" s="15">
        <v>35</v>
      </c>
      <c r="CF79" s="15" t="s">
        <v>40</v>
      </c>
      <c r="CG79" s="15" t="s">
        <v>29</v>
      </c>
      <c r="CH79" s="15">
        <v>2</v>
      </c>
      <c r="CI79" s="15">
        <f t="shared" si="10"/>
        <v>1.9</v>
      </c>
      <c r="CJ79" s="15">
        <v>35</v>
      </c>
    </row>
    <row r="80" spans="1:88" x14ac:dyDescent="0.2">
      <c r="A80" s="16"/>
      <c r="B80" s="19" t="s">
        <v>42</v>
      </c>
      <c r="C80" s="19" t="s">
        <v>29</v>
      </c>
      <c r="D80" s="19">
        <v>8.5</v>
      </c>
      <c r="E80" s="16">
        <f>D80*0.95</f>
        <v>8.0749999999999993</v>
      </c>
      <c r="F80" s="24">
        <v>47</v>
      </c>
      <c r="G80" s="16"/>
      <c r="H80" s="16"/>
      <c r="I80" s="16"/>
      <c r="J80" s="19" t="s">
        <v>42</v>
      </c>
      <c r="K80" s="19" t="s">
        <v>29</v>
      </c>
      <c r="L80" s="19">
        <v>8.5</v>
      </c>
      <c r="M80" s="16">
        <f>L80*0.95</f>
        <v>8.0749999999999993</v>
      </c>
      <c r="N80" s="24">
        <v>47</v>
      </c>
      <c r="O80" s="16"/>
      <c r="P80" s="16"/>
      <c r="R80" s="25" t="s">
        <v>42</v>
      </c>
      <c r="S80" s="25" t="s">
        <v>29</v>
      </c>
      <c r="T80" s="19">
        <v>8.5</v>
      </c>
      <c r="U80" s="16">
        <f>T80*0.95</f>
        <v>8.0749999999999993</v>
      </c>
      <c r="V80" s="19" t="s">
        <v>57</v>
      </c>
      <c r="W80" s="21"/>
      <c r="X80" s="21"/>
      <c r="Z80" s="25" t="s">
        <v>42</v>
      </c>
      <c r="AA80" s="25" t="s">
        <v>29</v>
      </c>
      <c r="AB80" s="19">
        <v>8.5</v>
      </c>
      <c r="AC80" s="16">
        <f>AB80*0.95</f>
        <v>8.0749999999999993</v>
      </c>
      <c r="AD80" s="25" t="s">
        <v>57</v>
      </c>
      <c r="CF80" s="25" t="s">
        <v>42</v>
      </c>
      <c r="CG80" s="25" t="s">
        <v>29</v>
      </c>
      <c r="CH80" s="19">
        <v>8.5</v>
      </c>
      <c r="CI80" s="16">
        <f>CH80*0.95</f>
        <v>8.0749999999999993</v>
      </c>
      <c r="CJ80" s="15" t="s">
        <v>45</v>
      </c>
    </row>
    <row r="81" spans="1:88" x14ac:dyDescent="0.2">
      <c r="A81" s="16"/>
      <c r="B81" s="16" t="s">
        <v>46</v>
      </c>
      <c r="C81" s="16" t="s">
        <v>29</v>
      </c>
      <c r="D81" s="16">
        <v>5</v>
      </c>
      <c r="E81" s="16">
        <f t="shared" si="7"/>
        <v>4.75</v>
      </c>
      <c r="F81" s="16">
        <v>35</v>
      </c>
      <c r="G81" s="16"/>
      <c r="H81" s="16"/>
      <c r="I81" s="16"/>
      <c r="J81" s="16" t="s">
        <v>46</v>
      </c>
      <c r="K81" s="16" t="s">
        <v>29</v>
      </c>
      <c r="L81" s="16">
        <v>5</v>
      </c>
      <c r="M81" s="16">
        <f t="shared" si="6"/>
        <v>4.75</v>
      </c>
      <c r="N81" s="16">
        <v>35</v>
      </c>
      <c r="O81" s="16"/>
      <c r="P81" s="16"/>
      <c r="R81" s="15" t="s">
        <v>46</v>
      </c>
      <c r="S81" s="15" t="s">
        <v>29</v>
      </c>
      <c r="T81" s="15">
        <v>5</v>
      </c>
      <c r="U81" s="15">
        <f t="shared" si="8"/>
        <v>4.75</v>
      </c>
      <c r="V81" s="26">
        <v>35</v>
      </c>
      <c r="W81" s="26"/>
      <c r="X81" s="26"/>
      <c r="Z81" s="15" t="s">
        <v>46</v>
      </c>
      <c r="AA81" s="15" t="s">
        <v>29</v>
      </c>
      <c r="AB81" s="15">
        <v>5</v>
      </c>
      <c r="AC81" s="15">
        <f t="shared" si="9"/>
        <v>4.75</v>
      </c>
      <c r="AD81" s="15">
        <v>35</v>
      </c>
      <c r="CF81" s="15" t="s">
        <v>46</v>
      </c>
      <c r="CG81" s="15" t="s">
        <v>29</v>
      </c>
      <c r="CH81" s="15">
        <v>5</v>
      </c>
      <c r="CI81" s="15">
        <f t="shared" si="10"/>
        <v>4.75</v>
      </c>
      <c r="CJ81" s="15">
        <v>35</v>
      </c>
    </row>
    <row r="82" spans="1:88" x14ac:dyDescent="0.2">
      <c r="A82" s="16"/>
      <c r="B82" s="16" t="s">
        <v>48</v>
      </c>
      <c r="C82" s="16" t="s">
        <v>49</v>
      </c>
      <c r="D82" s="16">
        <v>6</v>
      </c>
      <c r="E82" s="16">
        <f t="shared" si="7"/>
        <v>5.6999999999999993</v>
      </c>
      <c r="F82" s="16">
        <v>35</v>
      </c>
      <c r="G82" s="16">
        <f>SUM(D7:D81)</f>
        <v>374.5</v>
      </c>
      <c r="H82" s="16"/>
      <c r="I82" s="16"/>
      <c r="J82" s="16" t="s">
        <v>48</v>
      </c>
      <c r="K82" s="16" t="s">
        <v>49</v>
      </c>
      <c r="L82" s="16">
        <v>6</v>
      </c>
      <c r="M82" s="16">
        <f t="shared" si="6"/>
        <v>5.6999999999999993</v>
      </c>
      <c r="N82" s="16">
        <v>35</v>
      </c>
      <c r="O82" s="16">
        <f>SUM(L7:L81)</f>
        <v>367.5</v>
      </c>
      <c r="P82" s="16"/>
      <c r="R82" s="15" t="s">
        <v>48</v>
      </c>
      <c r="S82" s="15" t="s">
        <v>49</v>
      </c>
      <c r="T82" s="15">
        <v>6</v>
      </c>
      <c r="U82" s="15">
        <f t="shared" si="8"/>
        <v>5.6999999999999993</v>
      </c>
      <c r="V82" s="26">
        <v>35</v>
      </c>
      <c r="W82" s="26">
        <f>SUM(T7:T81)</f>
        <v>363.5</v>
      </c>
      <c r="X82" s="26"/>
      <c r="Z82" s="15" t="s">
        <v>48</v>
      </c>
      <c r="AA82" s="15" t="s">
        <v>49</v>
      </c>
      <c r="AB82" s="15">
        <v>6</v>
      </c>
      <c r="AC82" s="15">
        <f t="shared" si="9"/>
        <v>5.6999999999999993</v>
      </c>
      <c r="AD82" s="15">
        <v>35</v>
      </c>
      <c r="AE82" s="15">
        <f>SUM(AB7:AB81)</f>
        <v>368.5</v>
      </c>
      <c r="CF82" s="15" t="s">
        <v>48</v>
      </c>
      <c r="CG82" s="15" t="s">
        <v>49</v>
      </c>
      <c r="CH82" s="15">
        <v>6</v>
      </c>
      <c r="CI82" s="15">
        <f t="shared" si="10"/>
        <v>5.6999999999999993</v>
      </c>
      <c r="CJ82" s="15">
        <v>35</v>
      </c>
    </row>
    <row r="83" spans="1:88" x14ac:dyDescent="0.2">
      <c r="A83" s="16"/>
      <c r="B83" s="16" t="s">
        <v>51</v>
      </c>
      <c r="C83" s="16" t="s">
        <v>29</v>
      </c>
      <c r="D83" s="16">
        <v>8</v>
      </c>
      <c r="E83" s="27">
        <f t="shared" si="7"/>
        <v>7.6</v>
      </c>
      <c r="F83" s="16">
        <v>35</v>
      </c>
      <c r="G83" s="16"/>
      <c r="H83" s="16"/>
      <c r="I83" s="16"/>
      <c r="J83" s="16" t="s">
        <v>51</v>
      </c>
      <c r="K83" s="16" t="s">
        <v>29</v>
      </c>
      <c r="L83" s="16">
        <v>5</v>
      </c>
      <c r="M83" s="27">
        <f t="shared" si="6"/>
        <v>4.75</v>
      </c>
      <c r="N83" s="16">
        <v>35</v>
      </c>
      <c r="O83" s="16"/>
      <c r="P83" s="16"/>
      <c r="R83" s="15" t="s">
        <v>51</v>
      </c>
      <c r="S83" s="15" t="s">
        <v>29</v>
      </c>
      <c r="T83" s="15">
        <v>4</v>
      </c>
      <c r="U83" s="28">
        <f t="shared" si="8"/>
        <v>3.8</v>
      </c>
      <c r="V83" s="26">
        <v>35</v>
      </c>
      <c r="W83" s="26"/>
      <c r="X83" s="26"/>
      <c r="Z83" s="15" t="s">
        <v>51</v>
      </c>
      <c r="AA83" s="15" t="s">
        <v>29</v>
      </c>
      <c r="AB83" s="15">
        <v>4</v>
      </c>
      <c r="AC83" s="28">
        <f>AB83*0.95</f>
        <v>3.8</v>
      </c>
      <c r="AD83" s="15">
        <v>35</v>
      </c>
      <c r="CF83" s="15" t="s">
        <v>51</v>
      </c>
      <c r="CG83" s="15" t="s">
        <v>29</v>
      </c>
      <c r="CH83" s="15">
        <v>4</v>
      </c>
      <c r="CI83" s="28">
        <f>CH83*0.95</f>
        <v>3.8</v>
      </c>
      <c r="CJ83" s="15">
        <v>35</v>
      </c>
    </row>
    <row r="84" spans="1:88" x14ac:dyDescent="0.2">
      <c r="A84" s="16" t="s">
        <v>75</v>
      </c>
      <c r="B84" s="16"/>
      <c r="C84" s="16"/>
      <c r="D84" s="16">
        <v>1</v>
      </c>
      <c r="E84" s="16">
        <v>0.95</v>
      </c>
      <c r="F84" s="16"/>
      <c r="G84" s="16"/>
      <c r="H84" s="16"/>
      <c r="I84" s="16" t="s">
        <v>75</v>
      </c>
      <c r="J84" s="16"/>
      <c r="K84" s="16"/>
      <c r="L84" s="16">
        <v>1</v>
      </c>
      <c r="M84" s="16">
        <v>0.95</v>
      </c>
      <c r="N84" s="16"/>
      <c r="O84" s="16"/>
      <c r="P84" s="16"/>
      <c r="Q84" s="15" t="s">
        <v>76</v>
      </c>
      <c r="T84" s="15">
        <v>1</v>
      </c>
      <c r="U84" s="15">
        <v>0.95</v>
      </c>
      <c r="V84" s="26"/>
      <c r="W84" s="26"/>
      <c r="X84" s="26"/>
      <c r="Y84" s="15" t="s">
        <v>76</v>
      </c>
      <c r="AB84" s="15">
        <v>1</v>
      </c>
      <c r="AC84" s="15">
        <v>0.95</v>
      </c>
      <c r="CE84" s="15" t="s">
        <v>76</v>
      </c>
      <c r="CF84" s="15" t="s">
        <v>33</v>
      </c>
      <c r="CG84" s="15" t="s">
        <v>29</v>
      </c>
      <c r="CH84" s="15">
        <v>1</v>
      </c>
      <c r="CI84" s="15">
        <f t="shared" si="10"/>
        <v>0.95</v>
      </c>
      <c r="CJ84" s="15">
        <v>35</v>
      </c>
    </row>
    <row r="85" spans="1:88" x14ac:dyDescent="0.2">
      <c r="A85" s="16" t="s">
        <v>37</v>
      </c>
      <c r="B85" s="16" t="s">
        <v>35</v>
      </c>
      <c r="C85" s="7" t="s">
        <v>36</v>
      </c>
      <c r="D85" s="16">
        <v>5</v>
      </c>
      <c r="E85" s="16">
        <f t="shared" si="7"/>
        <v>4.75</v>
      </c>
      <c r="F85" s="16">
        <v>35</v>
      </c>
      <c r="G85" s="16"/>
      <c r="H85" s="16"/>
      <c r="I85" s="16" t="s">
        <v>34</v>
      </c>
      <c r="J85" s="16" t="s">
        <v>35</v>
      </c>
      <c r="K85" s="22">
        <v>0.15</v>
      </c>
      <c r="L85" s="16">
        <v>5</v>
      </c>
      <c r="M85" s="16">
        <f t="shared" si="6"/>
        <v>4.75</v>
      </c>
      <c r="N85" s="16">
        <v>35</v>
      </c>
      <c r="O85" s="16"/>
      <c r="P85" s="16"/>
      <c r="Q85" s="15" t="s">
        <v>37</v>
      </c>
      <c r="R85" s="15" t="s">
        <v>35</v>
      </c>
      <c r="S85" s="23">
        <v>0.17</v>
      </c>
      <c r="T85" s="15">
        <v>5</v>
      </c>
      <c r="U85" s="15">
        <f t="shared" si="8"/>
        <v>4.75</v>
      </c>
      <c r="V85" s="26">
        <v>35</v>
      </c>
      <c r="W85" s="26"/>
      <c r="X85" s="26"/>
      <c r="Y85" s="15" t="s">
        <v>34</v>
      </c>
      <c r="Z85" s="15" t="s">
        <v>35</v>
      </c>
      <c r="AA85" s="23">
        <v>0.9</v>
      </c>
      <c r="AB85" s="15">
        <v>5</v>
      </c>
      <c r="AC85" s="15">
        <f t="shared" si="9"/>
        <v>4.75</v>
      </c>
      <c r="AD85" s="15">
        <v>35</v>
      </c>
      <c r="CF85" s="15" t="s">
        <v>35</v>
      </c>
      <c r="CG85" s="23">
        <v>0.39</v>
      </c>
      <c r="CH85" s="15">
        <v>5</v>
      </c>
      <c r="CI85" s="15">
        <f t="shared" si="10"/>
        <v>4.75</v>
      </c>
      <c r="CJ85" s="15">
        <v>35</v>
      </c>
    </row>
    <row r="86" spans="1:88" x14ac:dyDescent="0.2">
      <c r="A86" s="16"/>
      <c r="B86" s="16" t="s">
        <v>40</v>
      </c>
      <c r="C86" s="16" t="s">
        <v>29</v>
      </c>
      <c r="D86" s="16">
        <v>4</v>
      </c>
      <c r="E86" s="16">
        <f t="shared" si="7"/>
        <v>3.8</v>
      </c>
      <c r="F86" s="16">
        <v>35</v>
      </c>
      <c r="G86" s="16"/>
      <c r="H86" s="16"/>
      <c r="I86" s="16"/>
      <c r="J86" s="16" t="s">
        <v>40</v>
      </c>
      <c r="K86" s="16" t="s">
        <v>29</v>
      </c>
      <c r="L86" s="16">
        <v>4</v>
      </c>
      <c r="M86" s="16">
        <f t="shared" si="6"/>
        <v>3.8</v>
      </c>
      <c r="N86" s="16">
        <v>35</v>
      </c>
      <c r="O86" s="16"/>
      <c r="P86" s="16"/>
      <c r="R86" s="15" t="s">
        <v>40</v>
      </c>
      <c r="S86" s="15" t="s">
        <v>29</v>
      </c>
      <c r="T86" s="15">
        <v>4</v>
      </c>
      <c r="U86" s="15">
        <f t="shared" si="8"/>
        <v>3.8</v>
      </c>
      <c r="V86" s="26">
        <v>35</v>
      </c>
      <c r="W86" s="26"/>
      <c r="X86" s="26"/>
      <c r="Z86" s="15" t="s">
        <v>40</v>
      </c>
      <c r="AA86" s="15" t="s">
        <v>29</v>
      </c>
      <c r="AB86" s="15">
        <v>4</v>
      </c>
      <c r="AC86" s="15">
        <f t="shared" si="9"/>
        <v>3.8</v>
      </c>
      <c r="AD86" s="15">
        <v>35</v>
      </c>
      <c r="CF86" s="15" t="s">
        <v>40</v>
      </c>
      <c r="CG86" s="15" t="s">
        <v>29</v>
      </c>
      <c r="CH86" s="15">
        <v>2</v>
      </c>
      <c r="CI86" s="15">
        <f t="shared" si="10"/>
        <v>1.9</v>
      </c>
      <c r="CJ86" s="15">
        <v>35</v>
      </c>
    </row>
    <row r="87" spans="1:88" x14ac:dyDescent="0.2">
      <c r="A87" s="16"/>
      <c r="B87" s="19" t="s">
        <v>42</v>
      </c>
      <c r="C87" s="19" t="s">
        <v>29</v>
      </c>
      <c r="D87" s="19">
        <v>8.5</v>
      </c>
      <c r="E87" s="16">
        <f>D87*0.95</f>
        <v>8.0749999999999993</v>
      </c>
      <c r="F87" s="24">
        <v>45</v>
      </c>
      <c r="G87" s="16"/>
      <c r="H87" s="16"/>
      <c r="I87" s="16"/>
      <c r="J87" s="19" t="s">
        <v>42</v>
      </c>
      <c r="K87" s="19" t="s">
        <v>29</v>
      </c>
      <c r="L87" s="19">
        <v>8.5</v>
      </c>
      <c r="M87" s="16">
        <f>L87*0.95</f>
        <v>8.0749999999999993</v>
      </c>
      <c r="N87" s="24">
        <v>45</v>
      </c>
      <c r="O87" s="16"/>
      <c r="P87" s="16"/>
      <c r="R87" s="25" t="s">
        <v>42</v>
      </c>
      <c r="S87" s="25" t="s">
        <v>29</v>
      </c>
      <c r="T87" s="19">
        <v>8.5</v>
      </c>
      <c r="U87" s="16">
        <f>T87*0.95</f>
        <v>8.0749999999999993</v>
      </c>
      <c r="V87" s="19" t="s">
        <v>43</v>
      </c>
      <c r="W87" s="21"/>
      <c r="X87" s="21"/>
      <c r="Z87" s="25" t="s">
        <v>42</v>
      </c>
      <c r="AA87" s="25" t="s">
        <v>29</v>
      </c>
      <c r="AB87" s="19">
        <v>8.5</v>
      </c>
      <c r="AC87" s="16">
        <f>AB87*0.95</f>
        <v>8.0749999999999993</v>
      </c>
      <c r="AD87" s="25" t="s">
        <v>57</v>
      </c>
      <c r="CF87" s="25" t="s">
        <v>42</v>
      </c>
      <c r="CG87" s="25" t="s">
        <v>29</v>
      </c>
      <c r="CH87" s="19">
        <v>8.5</v>
      </c>
      <c r="CI87" s="16">
        <f>CH87*0.95</f>
        <v>8.0749999999999993</v>
      </c>
      <c r="CJ87" s="15" t="s">
        <v>60</v>
      </c>
    </row>
    <row r="88" spans="1:88" x14ac:dyDescent="0.2">
      <c r="A88" s="16"/>
      <c r="B88" s="16" t="s">
        <v>46</v>
      </c>
      <c r="C88" s="16" t="s">
        <v>29</v>
      </c>
      <c r="D88" s="16">
        <v>5</v>
      </c>
      <c r="E88" s="16">
        <f t="shared" si="7"/>
        <v>4.75</v>
      </c>
      <c r="F88" s="16">
        <v>35</v>
      </c>
      <c r="G88" s="16"/>
      <c r="H88" s="16"/>
      <c r="I88" s="16"/>
      <c r="J88" s="16" t="s">
        <v>46</v>
      </c>
      <c r="K88" s="16" t="s">
        <v>29</v>
      </c>
      <c r="L88" s="16">
        <v>5</v>
      </c>
      <c r="M88" s="16">
        <f t="shared" si="6"/>
        <v>4.75</v>
      </c>
      <c r="N88" s="16">
        <v>35</v>
      </c>
      <c r="O88" s="16"/>
      <c r="P88" s="16"/>
      <c r="R88" s="15" t="s">
        <v>46</v>
      </c>
      <c r="S88" s="15" t="s">
        <v>29</v>
      </c>
      <c r="T88" s="15">
        <v>5</v>
      </c>
      <c r="U88" s="15">
        <f t="shared" si="8"/>
        <v>4.75</v>
      </c>
      <c r="V88" s="26">
        <v>35</v>
      </c>
      <c r="W88" s="26"/>
      <c r="X88" s="26"/>
      <c r="Z88" s="15" t="s">
        <v>46</v>
      </c>
      <c r="AA88" s="15" t="s">
        <v>29</v>
      </c>
      <c r="AB88" s="15">
        <v>5</v>
      </c>
      <c r="AC88" s="15">
        <f t="shared" si="9"/>
        <v>4.75</v>
      </c>
      <c r="AD88" s="15">
        <v>35</v>
      </c>
      <c r="CF88" s="15" t="s">
        <v>46</v>
      </c>
      <c r="CG88" s="15" t="s">
        <v>29</v>
      </c>
      <c r="CH88" s="15">
        <v>5</v>
      </c>
      <c r="CI88" s="15">
        <f t="shared" si="10"/>
        <v>4.75</v>
      </c>
      <c r="CJ88" s="15">
        <v>35</v>
      </c>
    </row>
    <row r="89" spans="1:88" x14ac:dyDescent="0.2">
      <c r="A89" s="16"/>
      <c r="B89" s="16" t="s">
        <v>48</v>
      </c>
      <c r="C89" s="16" t="s">
        <v>49</v>
      </c>
      <c r="D89" s="16">
        <v>6</v>
      </c>
      <c r="E89" s="16">
        <f t="shared" si="7"/>
        <v>5.6999999999999993</v>
      </c>
      <c r="F89" s="16">
        <v>35</v>
      </c>
      <c r="G89" s="16">
        <f>SUM(D7:D88)</f>
        <v>412</v>
      </c>
      <c r="H89" s="16"/>
      <c r="I89" s="16"/>
      <c r="J89" s="16" t="s">
        <v>48</v>
      </c>
      <c r="K89" s="16" t="s">
        <v>49</v>
      </c>
      <c r="L89" s="16">
        <v>6</v>
      </c>
      <c r="M89" s="16">
        <f t="shared" si="6"/>
        <v>5.6999999999999993</v>
      </c>
      <c r="N89" s="16">
        <v>35</v>
      </c>
      <c r="O89" s="16">
        <f>SUM(L7:L88)</f>
        <v>402</v>
      </c>
      <c r="P89" s="16"/>
      <c r="R89" s="15" t="s">
        <v>48</v>
      </c>
      <c r="S89" s="15" t="s">
        <v>49</v>
      </c>
      <c r="T89" s="15">
        <v>6</v>
      </c>
      <c r="U89" s="15">
        <f t="shared" si="8"/>
        <v>5.6999999999999993</v>
      </c>
      <c r="V89" s="26">
        <v>35</v>
      </c>
      <c r="W89" s="26">
        <f>SUM(T7:T88)</f>
        <v>397</v>
      </c>
      <c r="X89" s="26"/>
      <c r="Z89" s="15" t="s">
        <v>48</v>
      </c>
      <c r="AA89" s="15" t="s">
        <v>49</v>
      </c>
      <c r="AB89" s="15">
        <v>6</v>
      </c>
      <c r="AC89" s="15">
        <f t="shared" si="9"/>
        <v>5.6999999999999993</v>
      </c>
      <c r="AD89" s="15">
        <v>35</v>
      </c>
      <c r="AE89" s="15">
        <f>SUM(AB7:AB88)</f>
        <v>402</v>
      </c>
      <c r="CF89" s="15" t="s">
        <v>48</v>
      </c>
      <c r="CG89" s="15" t="s">
        <v>49</v>
      </c>
      <c r="CH89" s="15">
        <v>6</v>
      </c>
      <c r="CI89" s="15">
        <f t="shared" si="10"/>
        <v>5.6999999999999993</v>
      </c>
      <c r="CJ89" s="15">
        <v>35</v>
      </c>
    </row>
    <row r="90" spans="1:88" x14ac:dyDescent="0.2">
      <c r="A90" s="16"/>
      <c r="B90" s="16" t="s">
        <v>51</v>
      </c>
      <c r="C90" s="16" t="s">
        <v>29</v>
      </c>
      <c r="D90" s="16">
        <v>4</v>
      </c>
      <c r="E90" s="27">
        <f t="shared" si="7"/>
        <v>3.8</v>
      </c>
      <c r="F90" s="16">
        <v>35</v>
      </c>
      <c r="G90" s="16"/>
      <c r="H90" s="16"/>
      <c r="I90" s="16"/>
      <c r="J90" s="16" t="s">
        <v>51</v>
      </c>
      <c r="K90" s="16" t="s">
        <v>29</v>
      </c>
      <c r="L90" s="16">
        <v>4</v>
      </c>
      <c r="M90" s="27">
        <f t="shared" si="6"/>
        <v>3.8</v>
      </c>
      <c r="N90" s="16">
        <v>35</v>
      </c>
      <c r="O90" s="16"/>
      <c r="P90" s="16"/>
      <c r="R90" s="15" t="s">
        <v>51</v>
      </c>
      <c r="S90" s="15" t="s">
        <v>29</v>
      </c>
      <c r="T90" s="15">
        <v>4</v>
      </c>
      <c r="U90" s="28">
        <f t="shared" si="8"/>
        <v>3.8</v>
      </c>
      <c r="V90" s="26">
        <v>35</v>
      </c>
      <c r="W90" s="26"/>
      <c r="X90" s="26"/>
      <c r="Z90" s="15" t="s">
        <v>51</v>
      </c>
      <c r="AA90" s="15" t="s">
        <v>29</v>
      </c>
      <c r="AB90" s="15">
        <v>3</v>
      </c>
      <c r="AC90" s="28">
        <f>AB90*0.95</f>
        <v>2.8499999999999996</v>
      </c>
      <c r="AD90" s="15">
        <v>35</v>
      </c>
      <c r="CF90" s="15" t="s">
        <v>51</v>
      </c>
      <c r="CG90" s="15" t="s">
        <v>29</v>
      </c>
      <c r="CH90" s="15">
        <v>3</v>
      </c>
      <c r="CI90" s="28">
        <f>CH90*0.95</f>
        <v>2.8499999999999996</v>
      </c>
      <c r="CJ90" s="15">
        <v>35</v>
      </c>
    </row>
    <row r="91" spans="1:88" x14ac:dyDescent="0.2">
      <c r="A91" s="16"/>
      <c r="G91" s="16"/>
      <c r="H91" s="16"/>
      <c r="I91" s="16"/>
      <c r="J91" s="16"/>
      <c r="K91" s="16"/>
      <c r="L91" s="16"/>
      <c r="M91" s="16"/>
      <c r="N91" s="16"/>
      <c r="Q91" s="15" t="s">
        <v>77</v>
      </c>
      <c r="T91" s="15">
        <v>1</v>
      </c>
      <c r="U91" s="15">
        <v>0.95</v>
      </c>
      <c r="V91" s="26"/>
      <c r="W91" s="26"/>
      <c r="X91" s="26"/>
      <c r="Y91" s="15" t="s">
        <v>77</v>
      </c>
      <c r="AB91" s="15">
        <v>1</v>
      </c>
      <c r="AC91" s="15">
        <v>0.95</v>
      </c>
      <c r="CE91" s="15" t="s">
        <v>77</v>
      </c>
      <c r="CF91" s="15" t="s">
        <v>33</v>
      </c>
      <c r="CG91" s="15" t="s">
        <v>29</v>
      </c>
      <c r="CH91" s="15">
        <v>1</v>
      </c>
      <c r="CI91" s="15">
        <f t="shared" ref="CI91:CI97" si="11">CH91*0.95</f>
        <v>0.95</v>
      </c>
      <c r="CJ91" s="15">
        <v>35</v>
      </c>
    </row>
    <row r="92" spans="1:88" x14ac:dyDescent="0.2">
      <c r="G92" s="15">
        <f>SUM(D7:D90)</f>
        <v>422</v>
      </c>
      <c r="O92" s="15">
        <f>SUM(L7:L90)</f>
        <v>412</v>
      </c>
      <c r="Q92" s="15" t="s">
        <v>37</v>
      </c>
      <c r="R92" s="15" t="s">
        <v>35</v>
      </c>
      <c r="S92" s="23">
        <v>0.11</v>
      </c>
      <c r="T92" s="15">
        <v>5</v>
      </c>
      <c r="U92" s="15">
        <f t="shared" si="8"/>
        <v>4.75</v>
      </c>
      <c r="V92" s="26">
        <v>35</v>
      </c>
      <c r="W92" s="26"/>
      <c r="X92" s="26"/>
      <c r="Y92" s="15" t="s">
        <v>34</v>
      </c>
      <c r="Z92" s="15" t="s">
        <v>35</v>
      </c>
      <c r="AA92" s="23">
        <v>0.81</v>
      </c>
      <c r="AB92" s="15">
        <v>5</v>
      </c>
      <c r="AC92" s="15">
        <f t="shared" ref="AC92:AC97" si="12">AB92*0.95</f>
        <v>4.75</v>
      </c>
      <c r="AD92" s="15">
        <v>35</v>
      </c>
      <c r="CF92" s="15" t="s">
        <v>35</v>
      </c>
      <c r="CG92" s="23">
        <v>0.28000000000000003</v>
      </c>
      <c r="CH92" s="15">
        <v>5</v>
      </c>
      <c r="CI92" s="15">
        <f t="shared" si="11"/>
        <v>4.75</v>
      </c>
      <c r="CJ92" s="15">
        <v>35</v>
      </c>
    </row>
    <row r="93" spans="1:88" x14ac:dyDescent="0.2">
      <c r="R93" s="15" t="s">
        <v>40</v>
      </c>
      <c r="S93" s="15" t="s">
        <v>29</v>
      </c>
      <c r="T93" s="15">
        <v>4</v>
      </c>
      <c r="U93" s="15">
        <f t="shared" si="8"/>
        <v>3.8</v>
      </c>
      <c r="V93" s="26">
        <v>35</v>
      </c>
      <c r="W93" s="26"/>
      <c r="X93" s="26"/>
      <c r="Z93" s="15" t="s">
        <v>40</v>
      </c>
      <c r="AA93" s="15" t="s">
        <v>29</v>
      </c>
      <c r="AB93" s="15">
        <v>4</v>
      </c>
      <c r="AC93" s="15">
        <f t="shared" si="12"/>
        <v>3.8</v>
      </c>
      <c r="AD93" s="15">
        <v>35</v>
      </c>
      <c r="CF93" s="15" t="s">
        <v>40</v>
      </c>
      <c r="CG93" s="15" t="s">
        <v>29</v>
      </c>
      <c r="CH93" s="15">
        <v>2</v>
      </c>
      <c r="CI93" s="15">
        <f t="shared" si="11"/>
        <v>1.9</v>
      </c>
      <c r="CJ93" s="15">
        <v>35</v>
      </c>
    </row>
    <row r="94" spans="1:88" x14ac:dyDescent="0.2">
      <c r="E94" s="15">
        <f>SUM(E6:E90)</f>
        <v>417.04999999999984</v>
      </c>
      <c r="M94" s="34">
        <f>SUM(M6:M90)</f>
        <v>407.54999999999984</v>
      </c>
      <c r="R94" s="25" t="s">
        <v>42</v>
      </c>
      <c r="S94" s="25" t="s">
        <v>29</v>
      </c>
      <c r="T94" s="19">
        <v>8.5</v>
      </c>
      <c r="U94" s="16">
        <f>T94*0.95</f>
        <v>8.0749999999999993</v>
      </c>
      <c r="V94" s="19" t="s">
        <v>57</v>
      </c>
      <c r="W94" s="21"/>
      <c r="X94" s="21"/>
      <c r="Z94" s="25" t="s">
        <v>42</v>
      </c>
      <c r="AA94" s="25" t="s">
        <v>29</v>
      </c>
      <c r="AB94" s="19">
        <v>8.5</v>
      </c>
      <c r="AC94" s="16">
        <f>AB94*0.95</f>
        <v>8.0749999999999993</v>
      </c>
      <c r="AD94" s="25" t="s">
        <v>43</v>
      </c>
      <c r="CF94" s="25" t="s">
        <v>42</v>
      </c>
      <c r="CG94" s="25" t="s">
        <v>29</v>
      </c>
      <c r="CH94" s="19">
        <v>8.5</v>
      </c>
      <c r="CI94" s="16">
        <f>CH94*0.95</f>
        <v>8.0749999999999993</v>
      </c>
      <c r="CJ94" s="15" t="s">
        <v>45</v>
      </c>
    </row>
    <row r="95" spans="1:88" x14ac:dyDescent="0.2">
      <c r="D95" s="15" t="s">
        <v>78</v>
      </c>
      <c r="E95" s="15">
        <f>E94/60</f>
        <v>6.950833333333331</v>
      </c>
      <c r="M95" s="34">
        <f>M94/60</f>
        <v>6.7924999999999978</v>
      </c>
      <c r="R95" s="15" t="s">
        <v>46</v>
      </c>
      <c r="S95" s="15" t="s">
        <v>29</v>
      </c>
      <c r="T95" s="15">
        <v>5</v>
      </c>
      <c r="U95" s="15">
        <f t="shared" si="8"/>
        <v>4.75</v>
      </c>
      <c r="V95" s="26">
        <v>35</v>
      </c>
      <c r="W95" s="26"/>
      <c r="X95" s="26"/>
      <c r="Z95" s="15" t="s">
        <v>46</v>
      </c>
      <c r="AA95" s="15" t="s">
        <v>29</v>
      </c>
      <c r="AB95" s="15">
        <v>5</v>
      </c>
      <c r="AC95" s="15">
        <f t="shared" si="12"/>
        <v>4.75</v>
      </c>
      <c r="AD95" s="15">
        <v>35</v>
      </c>
      <c r="CF95" s="15" t="s">
        <v>46</v>
      </c>
      <c r="CG95" s="15" t="s">
        <v>29</v>
      </c>
      <c r="CH95" s="15">
        <v>5</v>
      </c>
      <c r="CI95" s="15">
        <f t="shared" si="11"/>
        <v>4.75</v>
      </c>
      <c r="CJ95" s="15">
        <v>35</v>
      </c>
    </row>
    <row r="96" spans="1:88" x14ac:dyDescent="0.2">
      <c r="R96" s="15" t="s">
        <v>48</v>
      </c>
      <c r="S96" s="15" t="s">
        <v>49</v>
      </c>
      <c r="T96" s="15">
        <v>6</v>
      </c>
      <c r="U96" s="15">
        <f t="shared" si="8"/>
        <v>5.6999999999999993</v>
      </c>
      <c r="V96" s="26">
        <v>35</v>
      </c>
      <c r="W96" s="26">
        <f>SUM(T7:T95)</f>
        <v>430.5</v>
      </c>
      <c r="X96" s="26"/>
      <c r="Z96" s="15" t="s">
        <v>48</v>
      </c>
      <c r="AA96" s="15" t="s">
        <v>49</v>
      </c>
      <c r="AB96" s="15">
        <v>6</v>
      </c>
      <c r="AC96" s="15">
        <f t="shared" si="12"/>
        <v>5.6999999999999993</v>
      </c>
      <c r="AD96" s="15">
        <v>35</v>
      </c>
      <c r="AE96" s="15">
        <f>SUM(AB7:AB95)</f>
        <v>434.5</v>
      </c>
      <c r="CF96" s="15" t="s">
        <v>48</v>
      </c>
      <c r="CG96" s="15" t="s">
        <v>49</v>
      </c>
      <c r="CH96" s="15">
        <v>6</v>
      </c>
      <c r="CI96" s="15">
        <f t="shared" si="11"/>
        <v>5.6999999999999993</v>
      </c>
      <c r="CJ96" s="15">
        <v>35</v>
      </c>
    </row>
    <row r="97" spans="17:88" x14ac:dyDescent="0.2">
      <c r="R97" s="15" t="s">
        <v>51</v>
      </c>
      <c r="S97" s="15" t="s">
        <v>29</v>
      </c>
      <c r="T97" s="15">
        <v>2</v>
      </c>
      <c r="U97" s="28">
        <f>T97*0.95</f>
        <v>1.9</v>
      </c>
      <c r="V97" s="26">
        <v>35</v>
      </c>
      <c r="W97" s="26"/>
      <c r="X97" s="26"/>
      <c r="Z97" s="15" t="s">
        <v>51</v>
      </c>
      <c r="AA97" s="15" t="s">
        <v>29</v>
      </c>
      <c r="AB97" s="15">
        <v>2</v>
      </c>
      <c r="AC97" s="28">
        <f t="shared" si="12"/>
        <v>1.9</v>
      </c>
      <c r="AD97" s="15">
        <v>35</v>
      </c>
      <c r="CF97" s="15" t="s">
        <v>51</v>
      </c>
      <c r="CG97" s="15" t="s">
        <v>29</v>
      </c>
      <c r="CH97" s="15">
        <v>2</v>
      </c>
      <c r="CI97" s="28">
        <f t="shared" si="11"/>
        <v>1.9</v>
      </c>
      <c r="CJ97" s="15">
        <v>35</v>
      </c>
    </row>
    <row r="98" spans="17:88" x14ac:dyDescent="0.2">
      <c r="Q98" s="32" t="s">
        <v>79</v>
      </c>
      <c r="R98" s="32"/>
      <c r="S98" s="32"/>
      <c r="T98" s="32">
        <v>1</v>
      </c>
      <c r="U98" s="15">
        <v>0.95</v>
      </c>
      <c r="V98" s="26"/>
      <c r="Y98" s="35" t="s">
        <v>79</v>
      </c>
      <c r="Z98" s="35"/>
      <c r="AA98" s="35"/>
      <c r="AB98" s="35">
        <v>1</v>
      </c>
      <c r="AC98" s="15">
        <v>0.95</v>
      </c>
    </row>
    <row r="99" spans="17:88" x14ac:dyDescent="0.2">
      <c r="Q99" s="15" t="s">
        <v>37</v>
      </c>
      <c r="R99" s="15" t="s">
        <v>35</v>
      </c>
      <c r="S99" s="23">
        <v>0.89</v>
      </c>
      <c r="T99" s="15">
        <v>5</v>
      </c>
      <c r="U99" s="15">
        <f t="shared" ref="U99:U100" si="13">T99*0.95</f>
        <v>4.75</v>
      </c>
      <c r="V99" s="26">
        <v>35</v>
      </c>
      <c r="Y99" s="15" t="s">
        <v>37</v>
      </c>
      <c r="Z99" s="15" t="s">
        <v>35</v>
      </c>
      <c r="AA99" s="23">
        <v>0.13</v>
      </c>
      <c r="AB99" s="15">
        <v>5</v>
      </c>
      <c r="AC99" s="15">
        <f>AB99*0.95</f>
        <v>4.75</v>
      </c>
      <c r="AD99" s="15">
        <v>35</v>
      </c>
    </row>
    <row r="100" spans="17:88" x14ac:dyDescent="0.2">
      <c r="R100" s="15" t="s">
        <v>40</v>
      </c>
      <c r="S100" s="15" t="s">
        <v>29</v>
      </c>
      <c r="T100" s="15">
        <v>4</v>
      </c>
      <c r="U100" s="15">
        <f t="shared" si="13"/>
        <v>3.8</v>
      </c>
      <c r="V100" s="26">
        <v>35</v>
      </c>
      <c r="Z100" s="15" t="s">
        <v>40</v>
      </c>
      <c r="AA100" s="15" t="s">
        <v>29</v>
      </c>
      <c r="AB100" s="15">
        <v>4</v>
      </c>
      <c r="AC100" s="15">
        <f>AB100*0.95</f>
        <v>3.8</v>
      </c>
      <c r="AD100" s="15">
        <v>35</v>
      </c>
    </row>
    <row r="101" spans="17:88" x14ac:dyDescent="0.2">
      <c r="R101" s="25" t="s">
        <v>42</v>
      </c>
      <c r="S101" s="25" t="s">
        <v>29</v>
      </c>
      <c r="T101" s="19">
        <v>8.5</v>
      </c>
      <c r="U101" s="16">
        <f>T101*0.95</f>
        <v>8.0749999999999993</v>
      </c>
      <c r="V101" s="25" t="s">
        <v>43</v>
      </c>
      <c r="Z101" s="25" t="s">
        <v>42</v>
      </c>
      <c r="AA101" s="25" t="s">
        <v>29</v>
      </c>
      <c r="AB101" s="19">
        <v>8.5</v>
      </c>
      <c r="AC101" s="16">
        <f>AB101*0.95</f>
        <v>8.0749999999999993</v>
      </c>
      <c r="AD101" s="25" t="s">
        <v>57</v>
      </c>
    </row>
    <row r="102" spans="17:88" x14ac:dyDescent="0.2">
      <c r="R102" s="15" t="s">
        <v>46</v>
      </c>
      <c r="S102" s="15" t="s">
        <v>29</v>
      </c>
      <c r="T102" s="15">
        <v>5</v>
      </c>
      <c r="U102" s="15">
        <f t="shared" ref="U102:U107" si="14">T102*0.95</f>
        <v>4.75</v>
      </c>
      <c r="V102" s="15">
        <v>35</v>
      </c>
      <c r="Z102" s="15" t="s">
        <v>46</v>
      </c>
      <c r="AA102" s="15" t="s">
        <v>29</v>
      </c>
      <c r="AB102" s="15">
        <v>5</v>
      </c>
      <c r="AC102" s="15">
        <f t="shared" ref="AC102:AC107" si="15">AB102*0.95</f>
        <v>4.75</v>
      </c>
      <c r="AD102" s="15">
        <v>35</v>
      </c>
    </row>
    <row r="103" spans="17:88" x14ac:dyDescent="0.2">
      <c r="R103" s="15" t="s">
        <v>48</v>
      </c>
      <c r="S103" s="15" t="s">
        <v>49</v>
      </c>
      <c r="T103" s="15">
        <v>6</v>
      </c>
      <c r="U103" s="15">
        <f t="shared" si="14"/>
        <v>5.6999999999999993</v>
      </c>
      <c r="V103" s="15">
        <v>35</v>
      </c>
      <c r="W103" s="15">
        <f>SUM(T7:T102)</f>
        <v>462</v>
      </c>
      <c r="Z103" s="15" t="s">
        <v>48</v>
      </c>
      <c r="AA103" s="15" t="s">
        <v>49</v>
      </c>
      <c r="AB103" s="15">
        <v>6</v>
      </c>
      <c r="AC103" s="15">
        <f t="shared" si="15"/>
        <v>5.6999999999999993</v>
      </c>
      <c r="AD103" s="15">
        <v>35</v>
      </c>
      <c r="AE103" s="15">
        <f>SUM(AB7:AB102)</f>
        <v>466</v>
      </c>
    </row>
    <row r="104" spans="17:88" x14ac:dyDescent="0.2">
      <c r="R104" s="15" t="s">
        <v>51</v>
      </c>
      <c r="S104" s="15" t="s">
        <v>29</v>
      </c>
      <c r="T104" s="15">
        <v>4</v>
      </c>
      <c r="U104" s="28">
        <f t="shared" si="14"/>
        <v>3.8</v>
      </c>
      <c r="V104" s="15">
        <v>35</v>
      </c>
      <c r="Z104" s="15" t="s">
        <v>51</v>
      </c>
      <c r="AA104" s="15" t="s">
        <v>29</v>
      </c>
      <c r="AB104" s="15">
        <v>4</v>
      </c>
      <c r="AC104" s="28">
        <f t="shared" si="15"/>
        <v>3.8</v>
      </c>
      <c r="AD104" s="15">
        <v>35</v>
      </c>
    </row>
    <row r="105" spans="17:88" x14ac:dyDescent="0.2">
      <c r="Q105" s="15" t="s">
        <v>80</v>
      </c>
      <c r="T105" s="15">
        <v>1</v>
      </c>
      <c r="U105" s="15">
        <v>0.95</v>
      </c>
      <c r="Y105" s="15" t="s">
        <v>80</v>
      </c>
      <c r="AB105" s="15">
        <v>1</v>
      </c>
      <c r="AC105" s="15">
        <v>0.95</v>
      </c>
    </row>
    <row r="106" spans="17:88" x14ac:dyDescent="0.2">
      <c r="Q106" s="15" t="s">
        <v>34</v>
      </c>
      <c r="R106" s="15" t="s">
        <v>35</v>
      </c>
      <c r="S106" s="23">
        <v>0.1</v>
      </c>
      <c r="T106" s="15">
        <v>5</v>
      </c>
      <c r="U106" s="15">
        <f t="shared" si="14"/>
        <v>4.75</v>
      </c>
      <c r="V106" s="15">
        <v>35</v>
      </c>
      <c r="Y106" s="15" t="s">
        <v>34</v>
      </c>
      <c r="Z106" s="15" t="s">
        <v>35</v>
      </c>
      <c r="AA106" s="23">
        <v>0.15</v>
      </c>
      <c r="AB106" s="15">
        <v>5</v>
      </c>
      <c r="AC106" s="15">
        <f t="shared" si="15"/>
        <v>4.75</v>
      </c>
      <c r="AD106" s="15">
        <v>35</v>
      </c>
    </row>
    <row r="107" spans="17:88" x14ac:dyDescent="0.2">
      <c r="R107" s="15" t="s">
        <v>40</v>
      </c>
      <c r="S107" s="15" t="s">
        <v>29</v>
      </c>
      <c r="T107" s="15">
        <v>4</v>
      </c>
      <c r="U107" s="15">
        <f t="shared" si="14"/>
        <v>3.8</v>
      </c>
      <c r="V107" s="15">
        <v>35</v>
      </c>
      <c r="Z107" s="15" t="s">
        <v>40</v>
      </c>
      <c r="AA107" s="15" t="s">
        <v>29</v>
      </c>
      <c r="AB107" s="15">
        <v>4</v>
      </c>
      <c r="AC107" s="15">
        <f t="shared" si="15"/>
        <v>3.8</v>
      </c>
      <c r="AD107" s="15">
        <v>35</v>
      </c>
    </row>
    <row r="108" spans="17:88" x14ac:dyDescent="0.2">
      <c r="R108" s="25" t="s">
        <v>42</v>
      </c>
      <c r="S108" s="25" t="s">
        <v>29</v>
      </c>
      <c r="T108" s="19">
        <v>8.5</v>
      </c>
      <c r="U108" s="16">
        <f>T108*0.95</f>
        <v>8.0749999999999993</v>
      </c>
      <c r="V108" s="25" t="s">
        <v>43</v>
      </c>
      <c r="Z108" s="25" t="s">
        <v>42</v>
      </c>
      <c r="AA108" s="25" t="s">
        <v>29</v>
      </c>
      <c r="AB108" s="19">
        <v>8.5</v>
      </c>
      <c r="AC108" s="16">
        <f>AB108*0.95</f>
        <v>8.0749999999999993</v>
      </c>
      <c r="AD108" s="25" t="s">
        <v>57</v>
      </c>
    </row>
    <row r="109" spans="17:88" x14ac:dyDescent="0.2">
      <c r="R109" s="15" t="s">
        <v>46</v>
      </c>
      <c r="S109" s="15" t="s">
        <v>29</v>
      </c>
      <c r="T109" s="15">
        <v>5</v>
      </c>
      <c r="U109" s="15">
        <f t="shared" ref="U109:U114" si="16">T109*0.95</f>
        <v>4.75</v>
      </c>
      <c r="V109" s="15">
        <v>35</v>
      </c>
      <c r="Z109" s="15" t="s">
        <v>46</v>
      </c>
      <c r="AA109" s="15" t="s">
        <v>29</v>
      </c>
      <c r="AB109" s="15">
        <v>5</v>
      </c>
      <c r="AC109" s="15">
        <f t="shared" ref="AC109:AC114" si="17">AB109*0.95</f>
        <v>4.75</v>
      </c>
      <c r="AD109" s="15">
        <v>35</v>
      </c>
    </row>
    <row r="110" spans="17:88" x14ac:dyDescent="0.2">
      <c r="R110" s="15" t="s">
        <v>48</v>
      </c>
      <c r="S110" s="15" t="s">
        <v>49</v>
      </c>
      <c r="T110" s="15">
        <v>6</v>
      </c>
      <c r="U110" s="15">
        <f t="shared" si="16"/>
        <v>5.6999999999999993</v>
      </c>
      <c r="V110" s="15">
        <v>35</v>
      </c>
      <c r="W110" s="15">
        <f>SUM(T7:T109)</f>
        <v>495.5</v>
      </c>
      <c r="Z110" s="15" t="s">
        <v>48</v>
      </c>
      <c r="AA110" s="15" t="s">
        <v>49</v>
      </c>
      <c r="AB110" s="15">
        <v>6</v>
      </c>
      <c r="AC110" s="15">
        <f t="shared" si="17"/>
        <v>5.6999999999999993</v>
      </c>
      <c r="AD110" s="15">
        <v>35</v>
      </c>
      <c r="AE110" s="15">
        <f>SUM(AB7:AB109)</f>
        <v>499.5</v>
      </c>
    </row>
    <row r="111" spans="17:88" x14ac:dyDescent="0.2">
      <c r="R111" s="15" t="s">
        <v>51</v>
      </c>
      <c r="S111" s="15" t="s">
        <v>29</v>
      </c>
      <c r="T111" s="15">
        <v>4</v>
      </c>
      <c r="U111" s="28">
        <f t="shared" si="16"/>
        <v>3.8</v>
      </c>
      <c r="V111" s="15">
        <v>35</v>
      </c>
      <c r="Z111" s="15" t="s">
        <v>51</v>
      </c>
      <c r="AA111" s="15" t="s">
        <v>29</v>
      </c>
      <c r="AB111" s="15">
        <v>4</v>
      </c>
      <c r="AC111" s="28">
        <f t="shared" si="17"/>
        <v>3.8</v>
      </c>
      <c r="AD111" s="15">
        <v>35</v>
      </c>
    </row>
    <row r="112" spans="17:88" x14ac:dyDescent="0.2">
      <c r="Q112" s="15" t="s">
        <v>81</v>
      </c>
      <c r="T112" s="15">
        <v>1</v>
      </c>
      <c r="U112" s="15">
        <v>0.95</v>
      </c>
      <c r="Y112" s="15" t="s">
        <v>81</v>
      </c>
      <c r="AB112" s="15">
        <v>1</v>
      </c>
      <c r="AC112" s="15">
        <v>0.95</v>
      </c>
    </row>
    <row r="113" spans="17:31" x14ac:dyDescent="0.2">
      <c r="Q113" s="15" t="s">
        <v>34</v>
      </c>
      <c r="R113" s="15" t="s">
        <v>35</v>
      </c>
      <c r="S113" s="23">
        <v>0.19</v>
      </c>
      <c r="T113" s="15">
        <v>5</v>
      </c>
      <c r="U113" s="15">
        <f t="shared" si="16"/>
        <v>4.75</v>
      </c>
      <c r="V113" s="15">
        <v>35</v>
      </c>
      <c r="Y113" s="15" t="s">
        <v>37</v>
      </c>
      <c r="Z113" s="15" t="s">
        <v>35</v>
      </c>
      <c r="AA113" s="23">
        <v>0.88</v>
      </c>
      <c r="AB113" s="15">
        <v>5</v>
      </c>
      <c r="AC113" s="15">
        <f t="shared" si="17"/>
        <v>4.75</v>
      </c>
      <c r="AD113" s="15">
        <v>35</v>
      </c>
    </row>
    <row r="114" spans="17:31" x14ac:dyDescent="0.2">
      <c r="R114" s="15" t="s">
        <v>40</v>
      </c>
      <c r="S114" s="15" t="s">
        <v>29</v>
      </c>
      <c r="T114" s="15">
        <v>4</v>
      </c>
      <c r="U114" s="15">
        <f t="shared" si="16"/>
        <v>3.8</v>
      </c>
      <c r="V114" s="15">
        <v>35</v>
      </c>
      <c r="Z114" s="15" t="s">
        <v>40</v>
      </c>
      <c r="AA114" s="15" t="s">
        <v>29</v>
      </c>
      <c r="AB114" s="15">
        <v>4</v>
      </c>
      <c r="AC114" s="15">
        <f t="shared" si="17"/>
        <v>3.8</v>
      </c>
      <c r="AD114" s="15">
        <v>35</v>
      </c>
    </row>
    <row r="115" spans="17:31" x14ac:dyDescent="0.2">
      <c r="R115" s="25" t="s">
        <v>42</v>
      </c>
      <c r="S115" s="25" t="s">
        <v>29</v>
      </c>
      <c r="T115" s="19">
        <v>8.5</v>
      </c>
      <c r="U115" s="16">
        <f>T115*0.95</f>
        <v>8.0749999999999993</v>
      </c>
      <c r="V115" s="25" t="s">
        <v>57</v>
      </c>
      <c r="Z115" s="25" t="s">
        <v>42</v>
      </c>
      <c r="AA115" s="25" t="s">
        <v>29</v>
      </c>
      <c r="AB115" s="19">
        <v>8.5</v>
      </c>
      <c r="AC115" s="16">
        <f>AB115*0.95</f>
        <v>8.0749999999999993</v>
      </c>
      <c r="AD115" s="25" t="s">
        <v>43</v>
      </c>
    </row>
    <row r="116" spans="17:31" x14ac:dyDescent="0.2">
      <c r="R116" s="15" t="s">
        <v>46</v>
      </c>
      <c r="S116" s="15" t="s">
        <v>29</v>
      </c>
      <c r="T116" s="15">
        <v>5</v>
      </c>
      <c r="U116" s="15">
        <f t="shared" ref="U116:U118" si="18">T116*0.95</f>
        <v>4.75</v>
      </c>
      <c r="V116" s="15">
        <v>35</v>
      </c>
      <c r="Z116" s="15" t="s">
        <v>46</v>
      </c>
      <c r="AA116" s="15" t="s">
        <v>29</v>
      </c>
      <c r="AB116" s="15">
        <v>5</v>
      </c>
      <c r="AC116" s="15">
        <f t="shared" ref="AC116:AC118" si="19">AB116*0.95</f>
        <v>4.75</v>
      </c>
      <c r="AD116" s="15">
        <v>35</v>
      </c>
    </row>
    <row r="117" spans="17:31" x14ac:dyDescent="0.2">
      <c r="R117" s="15" t="s">
        <v>48</v>
      </c>
      <c r="S117" s="15" t="s">
        <v>49</v>
      </c>
      <c r="T117" s="15">
        <v>6</v>
      </c>
      <c r="U117" s="15">
        <f t="shared" si="18"/>
        <v>5.6999999999999993</v>
      </c>
      <c r="V117" s="15">
        <v>35</v>
      </c>
      <c r="W117" s="15">
        <f>SUM(T7:T116)</f>
        <v>529</v>
      </c>
      <c r="Z117" s="15" t="s">
        <v>48</v>
      </c>
      <c r="AA117" s="15" t="s">
        <v>49</v>
      </c>
      <c r="AB117" s="15">
        <v>6</v>
      </c>
      <c r="AC117" s="15">
        <f t="shared" si="19"/>
        <v>5.6999999999999993</v>
      </c>
      <c r="AD117" s="15">
        <v>35</v>
      </c>
      <c r="AE117" s="15">
        <f>SUM(AB7:AB116)</f>
        <v>533</v>
      </c>
    </row>
    <row r="118" spans="17:31" x14ac:dyDescent="0.2">
      <c r="R118" s="15" t="s">
        <v>51</v>
      </c>
      <c r="S118" s="15" t="s">
        <v>29</v>
      </c>
      <c r="T118" s="15">
        <v>2</v>
      </c>
      <c r="U118" s="28">
        <f t="shared" si="18"/>
        <v>1.9</v>
      </c>
      <c r="V118" s="15">
        <v>35</v>
      </c>
      <c r="Z118" s="15" t="s">
        <v>51</v>
      </c>
      <c r="AA118" s="15" t="s">
        <v>29</v>
      </c>
      <c r="AB118" s="15">
        <v>2</v>
      </c>
      <c r="AC118" s="28">
        <f t="shared" si="19"/>
        <v>1.9</v>
      </c>
      <c r="AD118" s="15">
        <v>35</v>
      </c>
    </row>
    <row r="120" spans="17:31" x14ac:dyDescent="0.2">
      <c r="W120" s="15">
        <f>SUM(T7:T118)</f>
        <v>537</v>
      </c>
      <c r="AE120" s="15">
        <f>SUM(AB7:AB118)</f>
        <v>541</v>
      </c>
    </row>
    <row r="126" spans="17:31" x14ac:dyDescent="0.2">
      <c r="U126" s="15" t="s">
        <v>82</v>
      </c>
      <c r="AC126" s="15" t="s">
        <v>83</v>
      </c>
    </row>
    <row r="127" spans="17:31" x14ac:dyDescent="0.2">
      <c r="U127" s="15">
        <f>SUM(U6:U118)</f>
        <v>526.29999999999984</v>
      </c>
      <c r="AC127" s="15">
        <f>SUM(AC5:AC118)</f>
        <v>530.0999999999998</v>
      </c>
      <c r="AE127" s="15" t="s">
        <v>84</v>
      </c>
    </row>
    <row r="128" spans="17:31" x14ac:dyDescent="0.2">
      <c r="U128" s="15">
        <f>U127/60</f>
        <v>8.7716666666666647</v>
      </c>
      <c r="AC128" s="15">
        <f>AC127/60</f>
        <v>8.8349999999999973</v>
      </c>
      <c r="AE128" s="15">
        <f>SUM(AC127,M94,E94,U127)</f>
        <v>1880.9999999999991</v>
      </c>
    </row>
    <row r="129" spans="31:31" x14ac:dyDescent="0.2">
      <c r="AE129" s="15">
        <f>(AE128/60)</f>
        <v>31.349999999999984</v>
      </c>
    </row>
  </sheetData>
  <phoneticPr fontId="11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51"/>
  <sheetViews>
    <sheetView topLeftCell="A2" zoomScale="96" workbookViewId="0">
      <selection activeCell="C25" sqref="C25"/>
    </sheetView>
  </sheetViews>
  <sheetFormatPr baseColWidth="10" defaultRowHeight="16" x14ac:dyDescent="0.2"/>
  <sheetData>
    <row r="1" spans="1:18" x14ac:dyDescent="0.2">
      <c r="A1" t="s">
        <v>107</v>
      </c>
      <c r="C1">
        <v>0</v>
      </c>
      <c r="F1" t="s">
        <v>110</v>
      </c>
      <c r="H1">
        <v>0</v>
      </c>
      <c r="K1" t="s">
        <v>111</v>
      </c>
      <c r="M1">
        <v>0</v>
      </c>
      <c r="P1" t="s">
        <v>112</v>
      </c>
      <c r="R1">
        <v>0</v>
      </c>
    </row>
    <row r="2" spans="1:18" x14ac:dyDescent="0.2">
      <c r="C2">
        <v>0</v>
      </c>
      <c r="H2">
        <v>0</v>
      </c>
      <c r="M2">
        <v>0</v>
      </c>
      <c r="R2">
        <v>0</v>
      </c>
    </row>
    <row r="3" spans="1:18" x14ac:dyDescent="0.2">
      <c r="C3">
        <v>0</v>
      </c>
      <c r="H3">
        <v>0</v>
      </c>
      <c r="M3">
        <v>0</v>
      </c>
      <c r="R3">
        <v>0</v>
      </c>
    </row>
    <row r="4" spans="1:18" x14ac:dyDescent="0.2">
      <c r="C4">
        <v>0</v>
      </c>
      <c r="H4">
        <v>0</v>
      </c>
      <c r="M4">
        <v>0</v>
      </c>
      <c r="R4">
        <v>0</v>
      </c>
    </row>
    <row r="5" spans="1:18" x14ac:dyDescent="0.2">
      <c r="C5">
        <v>0</v>
      </c>
      <c r="H5">
        <v>0</v>
      </c>
      <c r="M5">
        <v>0</v>
      </c>
      <c r="R5">
        <v>0</v>
      </c>
    </row>
    <row r="6" spans="1:18" x14ac:dyDescent="0.2">
      <c r="C6">
        <v>0</v>
      </c>
      <c r="H6">
        <v>0</v>
      </c>
      <c r="M6">
        <v>0</v>
      </c>
      <c r="R6">
        <v>0</v>
      </c>
    </row>
    <row r="7" spans="1:18" x14ac:dyDescent="0.2">
      <c r="C7">
        <v>0</v>
      </c>
      <c r="H7">
        <v>0</v>
      </c>
      <c r="M7">
        <v>0</v>
      </c>
      <c r="R7">
        <v>0</v>
      </c>
    </row>
    <row r="8" spans="1:18" x14ac:dyDescent="0.2">
      <c r="C8">
        <v>0</v>
      </c>
      <c r="H8">
        <v>0</v>
      </c>
      <c r="M8">
        <v>0</v>
      </c>
      <c r="R8">
        <v>0</v>
      </c>
    </row>
    <row r="9" spans="1:18" x14ac:dyDescent="0.2">
      <c r="C9">
        <v>0</v>
      </c>
      <c r="H9">
        <v>0</v>
      </c>
      <c r="M9">
        <v>0</v>
      </c>
      <c r="R9">
        <v>0</v>
      </c>
    </row>
    <row r="10" spans="1:18" x14ac:dyDescent="0.2">
      <c r="C10">
        <v>0</v>
      </c>
      <c r="H10">
        <v>0</v>
      </c>
      <c r="M10">
        <v>0</v>
      </c>
      <c r="R10">
        <v>0</v>
      </c>
    </row>
    <row r="11" spans="1:18" x14ac:dyDescent="0.2">
      <c r="C11">
        <v>0</v>
      </c>
      <c r="H11">
        <v>0</v>
      </c>
      <c r="M11">
        <v>0</v>
      </c>
      <c r="R11">
        <v>0</v>
      </c>
    </row>
    <row r="12" spans="1:18" x14ac:dyDescent="0.2">
      <c r="C12">
        <v>0</v>
      </c>
      <c r="H12">
        <v>0</v>
      </c>
      <c r="M12">
        <v>0</v>
      </c>
      <c r="R12">
        <v>0</v>
      </c>
    </row>
    <row r="13" spans="1:18" x14ac:dyDescent="0.2">
      <c r="C13">
        <v>0</v>
      </c>
      <c r="H13">
        <v>0</v>
      </c>
      <c r="M13">
        <v>0</v>
      </c>
      <c r="R13">
        <v>0</v>
      </c>
    </row>
    <row r="14" spans="1:18" x14ac:dyDescent="0.2">
      <c r="C14">
        <v>0</v>
      </c>
      <c r="H14">
        <v>0</v>
      </c>
      <c r="M14">
        <v>0</v>
      </c>
      <c r="R14">
        <v>0</v>
      </c>
    </row>
    <row r="15" spans="1:18" x14ac:dyDescent="0.2">
      <c r="C15">
        <v>0</v>
      </c>
      <c r="H15">
        <v>0</v>
      </c>
      <c r="M15">
        <v>0</v>
      </c>
      <c r="R15">
        <v>0</v>
      </c>
    </row>
    <row r="16" spans="1:18" x14ac:dyDescent="0.2">
      <c r="C16">
        <v>0</v>
      </c>
      <c r="H16">
        <v>0</v>
      </c>
      <c r="M16">
        <v>0</v>
      </c>
      <c r="R16">
        <v>0</v>
      </c>
    </row>
    <row r="17" spans="3:18" x14ac:dyDescent="0.2">
      <c r="C17">
        <v>0</v>
      </c>
      <c r="H17">
        <v>0</v>
      </c>
      <c r="M17">
        <v>0</v>
      </c>
      <c r="R17">
        <v>0</v>
      </c>
    </row>
    <row r="18" spans="3:18" x14ac:dyDescent="0.2">
      <c r="C18">
        <v>0</v>
      </c>
      <c r="H18">
        <v>0</v>
      </c>
      <c r="M18">
        <v>0</v>
      </c>
      <c r="R18">
        <v>0</v>
      </c>
    </row>
    <row r="19" spans="3:18" x14ac:dyDescent="0.2">
      <c r="C19">
        <v>0</v>
      </c>
      <c r="H19">
        <v>0</v>
      </c>
      <c r="M19">
        <v>0</v>
      </c>
      <c r="R19">
        <v>0</v>
      </c>
    </row>
    <row r="20" spans="3:18" x14ac:dyDescent="0.2">
      <c r="C20">
        <v>0</v>
      </c>
      <c r="H20">
        <v>0</v>
      </c>
      <c r="M20">
        <v>0</v>
      </c>
      <c r="R20">
        <v>0</v>
      </c>
    </row>
    <row r="21" spans="3:18" x14ac:dyDescent="0.2">
      <c r="C21">
        <v>0</v>
      </c>
      <c r="H21">
        <v>0</v>
      </c>
      <c r="M21">
        <v>0</v>
      </c>
      <c r="R21">
        <v>0</v>
      </c>
    </row>
    <row r="22" spans="3:18" x14ac:dyDescent="0.2">
      <c r="C22">
        <v>0</v>
      </c>
      <c r="H22">
        <v>0</v>
      </c>
      <c r="M22">
        <v>0</v>
      </c>
      <c r="R22">
        <v>0</v>
      </c>
    </row>
    <row r="23" spans="3:18" x14ac:dyDescent="0.2">
      <c r="C23">
        <v>0</v>
      </c>
      <c r="H23">
        <v>0</v>
      </c>
      <c r="M23">
        <v>0</v>
      </c>
      <c r="R23">
        <v>0</v>
      </c>
    </row>
    <row r="24" spans="3:18" x14ac:dyDescent="0.2">
      <c r="C24">
        <v>0</v>
      </c>
      <c r="H24">
        <v>0</v>
      </c>
      <c r="M24">
        <v>0</v>
      </c>
      <c r="R24">
        <v>0</v>
      </c>
    </row>
    <row r="25" spans="3:18" x14ac:dyDescent="0.2">
      <c r="C25">
        <v>1</v>
      </c>
      <c r="H25">
        <v>1</v>
      </c>
      <c r="M25">
        <v>1</v>
      </c>
      <c r="R25">
        <v>1</v>
      </c>
    </row>
    <row r="26" spans="3:18" x14ac:dyDescent="0.2">
      <c r="C26">
        <v>0</v>
      </c>
      <c r="H26">
        <v>0</v>
      </c>
      <c r="M26">
        <v>0</v>
      </c>
      <c r="R26">
        <v>0</v>
      </c>
    </row>
    <row r="27" spans="3:18" x14ac:dyDescent="0.2">
      <c r="C27">
        <v>0</v>
      </c>
      <c r="H27">
        <v>0</v>
      </c>
      <c r="M27">
        <v>0</v>
      </c>
      <c r="R27">
        <v>0</v>
      </c>
    </row>
    <row r="28" spans="3:18" x14ac:dyDescent="0.2">
      <c r="C28">
        <v>0</v>
      </c>
      <c r="H28">
        <v>0</v>
      </c>
      <c r="M28">
        <v>0</v>
      </c>
      <c r="R28">
        <v>0</v>
      </c>
    </row>
    <row r="29" spans="3:18" x14ac:dyDescent="0.2">
      <c r="C29">
        <v>0</v>
      </c>
      <c r="H29">
        <v>0</v>
      </c>
      <c r="M29">
        <v>0</v>
      </c>
      <c r="R29">
        <v>0</v>
      </c>
    </row>
    <row r="30" spans="3:18" x14ac:dyDescent="0.2">
      <c r="C30">
        <v>0</v>
      </c>
      <c r="H30">
        <v>0</v>
      </c>
      <c r="M30">
        <v>0</v>
      </c>
      <c r="R30">
        <v>0</v>
      </c>
    </row>
    <row r="31" spans="3:18" x14ac:dyDescent="0.2">
      <c r="C31">
        <v>0</v>
      </c>
      <c r="H31">
        <v>0</v>
      </c>
      <c r="M31">
        <v>0</v>
      </c>
      <c r="R31">
        <v>0</v>
      </c>
    </row>
    <row r="32" spans="3:18" x14ac:dyDescent="0.2">
      <c r="C32">
        <v>0</v>
      </c>
      <c r="H32">
        <v>0</v>
      </c>
      <c r="M32">
        <v>0</v>
      </c>
      <c r="R32">
        <v>0</v>
      </c>
    </row>
    <row r="33" spans="3:18" x14ac:dyDescent="0.2">
      <c r="C33">
        <v>0</v>
      </c>
      <c r="H33">
        <v>0</v>
      </c>
      <c r="M33">
        <v>0</v>
      </c>
      <c r="R33">
        <v>0</v>
      </c>
    </row>
    <row r="34" spans="3:18" x14ac:dyDescent="0.2">
      <c r="C34">
        <v>0</v>
      </c>
      <c r="H34">
        <v>0</v>
      </c>
      <c r="M34">
        <v>0</v>
      </c>
      <c r="R34">
        <v>0</v>
      </c>
    </row>
    <row r="35" spans="3:18" x14ac:dyDescent="0.2">
      <c r="C35">
        <v>0</v>
      </c>
      <c r="H35">
        <v>0</v>
      </c>
      <c r="M35">
        <v>0</v>
      </c>
      <c r="R35">
        <v>0</v>
      </c>
    </row>
    <row r="36" spans="3:18" x14ac:dyDescent="0.2">
      <c r="C36">
        <v>0</v>
      </c>
      <c r="H36">
        <v>0</v>
      </c>
      <c r="M36">
        <v>0</v>
      </c>
      <c r="R36">
        <v>0</v>
      </c>
    </row>
    <row r="37" spans="3:18" x14ac:dyDescent="0.2">
      <c r="C37">
        <v>0</v>
      </c>
      <c r="H37">
        <v>0</v>
      </c>
      <c r="M37">
        <v>0</v>
      </c>
      <c r="R37">
        <v>0</v>
      </c>
    </row>
    <row r="38" spans="3:18" x14ac:dyDescent="0.2">
      <c r="C38">
        <v>0</v>
      </c>
      <c r="H38">
        <v>0</v>
      </c>
      <c r="M38">
        <v>0</v>
      </c>
      <c r="R38">
        <v>0</v>
      </c>
    </row>
    <row r="39" spans="3:18" x14ac:dyDescent="0.2">
      <c r="C39">
        <v>0</v>
      </c>
      <c r="H39">
        <v>0</v>
      </c>
      <c r="M39">
        <v>0</v>
      </c>
      <c r="R39">
        <v>0</v>
      </c>
    </row>
    <row r="40" spans="3:18" x14ac:dyDescent="0.2">
      <c r="C40">
        <v>0</v>
      </c>
      <c r="H40">
        <v>0</v>
      </c>
      <c r="M40">
        <v>0</v>
      </c>
      <c r="R40">
        <v>0</v>
      </c>
    </row>
    <row r="41" spans="3:18" x14ac:dyDescent="0.2">
      <c r="C41">
        <v>0</v>
      </c>
      <c r="H41">
        <v>0</v>
      </c>
      <c r="M41">
        <v>0</v>
      </c>
      <c r="R41">
        <v>0</v>
      </c>
    </row>
    <row r="42" spans="3:18" x14ac:dyDescent="0.2">
      <c r="C42">
        <v>0</v>
      </c>
      <c r="H42">
        <v>0</v>
      </c>
      <c r="M42">
        <v>0</v>
      </c>
      <c r="R42">
        <v>0</v>
      </c>
    </row>
    <row r="43" spans="3:18" x14ac:dyDescent="0.2">
      <c r="C43">
        <v>0</v>
      </c>
      <c r="H43">
        <v>0</v>
      </c>
      <c r="M43">
        <v>0</v>
      </c>
      <c r="R43">
        <v>0</v>
      </c>
    </row>
    <row r="44" spans="3:18" x14ac:dyDescent="0.2">
      <c r="C44">
        <v>0</v>
      </c>
      <c r="H44">
        <v>0</v>
      </c>
      <c r="M44">
        <v>0</v>
      </c>
      <c r="R44">
        <v>0</v>
      </c>
    </row>
    <row r="45" spans="3:18" x14ac:dyDescent="0.2">
      <c r="C45">
        <v>0</v>
      </c>
      <c r="H45">
        <v>0</v>
      </c>
      <c r="M45">
        <v>0</v>
      </c>
      <c r="R45">
        <v>0</v>
      </c>
    </row>
    <row r="46" spans="3:18" x14ac:dyDescent="0.2">
      <c r="C46">
        <v>0</v>
      </c>
      <c r="H46">
        <v>0</v>
      </c>
      <c r="M46">
        <v>0</v>
      </c>
      <c r="R46">
        <v>0</v>
      </c>
    </row>
    <row r="47" spans="3:18" x14ac:dyDescent="0.2">
      <c r="C47">
        <v>0</v>
      </c>
      <c r="H47">
        <v>0</v>
      </c>
      <c r="M47">
        <v>0</v>
      </c>
      <c r="R47">
        <v>0</v>
      </c>
    </row>
    <row r="48" spans="3:18" x14ac:dyDescent="0.2">
      <c r="C48">
        <v>0</v>
      </c>
      <c r="H48">
        <v>0</v>
      </c>
      <c r="M48">
        <v>0</v>
      </c>
      <c r="R48">
        <v>0</v>
      </c>
    </row>
    <row r="49" spans="3:18" x14ac:dyDescent="0.2">
      <c r="C49">
        <v>0</v>
      </c>
      <c r="H49">
        <v>0</v>
      </c>
      <c r="M49">
        <v>0</v>
      </c>
      <c r="R49">
        <v>0</v>
      </c>
    </row>
    <row r="50" spans="3:18" x14ac:dyDescent="0.2">
      <c r="C50">
        <v>0</v>
      </c>
      <c r="H50">
        <v>0</v>
      </c>
      <c r="M50">
        <v>0</v>
      </c>
      <c r="R50">
        <v>0</v>
      </c>
    </row>
    <row r="51" spans="3:18" x14ac:dyDescent="0.2">
      <c r="C51">
        <v>0</v>
      </c>
      <c r="H51">
        <v>0</v>
      </c>
      <c r="M51">
        <v>0</v>
      </c>
      <c r="R51">
        <v>0</v>
      </c>
    </row>
    <row r="52" spans="3:18" x14ac:dyDescent="0.2">
      <c r="C52">
        <v>0</v>
      </c>
      <c r="H52">
        <v>0</v>
      </c>
      <c r="M52">
        <v>0</v>
      </c>
      <c r="R52">
        <v>0</v>
      </c>
    </row>
    <row r="53" spans="3:18" x14ac:dyDescent="0.2">
      <c r="C53">
        <v>0</v>
      </c>
      <c r="H53">
        <v>0</v>
      </c>
      <c r="M53">
        <v>0</v>
      </c>
      <c r="R53">
        <v>0</v>
      </c>
    </row>
    <row r="54" spans="3:18" x14ac:dyDescent="0.2">
      <c r="C54">
        <v>0</v>
      </c>
      <c r="H54">
        <v>0</v>
      </c>
      <c r="M54">
        <v>0</v>
      </c>
      <c r="R54">
        <v>0</v>
      </c>
    </row>
    <row r="55" spans="3:18" x14ac:dyDescent="0.2">
      <c r="C55">
        <v>0</v>
      </c>
      <c r="H55">
        <v>0</v>
      </c>
      <c r="M55">
        <v>0</v>
      </c>
      <c r="R55">
        <v>0</v>
      </c>
    </row>
    <row r="56" spans="3:18" x14ac:dyDescent="0.2">
      <c r="C56">
        <v>0</v>
      </c>
      <c r="H56">
        <v>0</v>
      </c>
      <c r="M56">
        <v>0</v>
      </c>
      <c r="R56">
        <v>0</v>
      </c>
    </row>
    <row r="57" spans="3:18" x14ac:dyDescent="0.2">
      <c r="C57">
        <v>0</v>
      </c>
      <c r="H57">
        <v>0</v>
      </c>
      <c r="M57">
        <v>0</v>
      </c>
      <c r="R57">
        <v>0</v>
      </c>
    </row>
    <row r="58" spans="3:18" x14ac:dyDescent="0.2">
      <c r="C58">
        <v>0</v>
      </c>
      <c r="H58">
        <v>0</v>
      </c>
      <c r="M58">
        <v>0</v>
      </c>
      <c r="R58">
        <v>0</v>
      </c>
    </row>
    <row r="59" spans="3:18" x14ac:dyDescent="0.2">
      <c r="C59">
        <v>0</v>
      </c>
      <c r="H59">
        <v>0</v>
      </c>
      <c r="M59">
        <v>0</v>
      </c>
      <c r="R59">
        <v>1</v>
      </c>
    </row>
    <row r="60" spans="3:18" x14ac:dyDescent="0.2">
      <c r="C60">
        <v>1</v>
      </c>
      <c r="H60">
        <v>1</v>
      </c>
      <c r="M60">
        <v>1</v>
      </c>
      <c r="R60">
        <v>0</v>
      </c>
    </row>
    <row r="61" spans="3:18" x14ac:dyDescent="0.2">
      <c r="C61">
        <v>0</v>
      </c>
      <c r="H61">
        <v>0</v>
      </c>
      <c r="M61">
        <v>0</v>
      </c>
      <c r="R61">
        <v>0</v>
      </c>
    </row>
    <row r="62" spans="3:18" x14ac:dyDescent="0.2">
      <c r="C62">
        <v>0</v>
      </c>
      <c r="H62">
        <v>0</v>
      </c>
      <c r="M62">
        <v>0</v>
      </c>
      <c r="R62">
        <v>0</v>
      </c>
    </row>
    <row r="63" spans="3:18" x14ac:dyDescent="0.2">
      <c r="C63">
        <v>0</v>
      </c>
      <c r="H63">
        <v>0</v>
      </c>
      <c r="M63">
        <v>0</v>
      </c>
      <c r="R63">
        <v>0</v>
      </c>
    </row>
    <row r="64" spans="3:18" x14ac:dyDescent="0.2">
      <c r="C64">
        <v>0</v>
      </c>
      <c r="H64">
        <v>0</v>
      </c>
      <c r="M64">
        <v>0</v>
      </c>
      <c r="R64">
        <v>0</v>
      </c>
    </row>
    <row r="65" spans="3:18" x14ac:dyDescent="0.2">
      <c r="C65">
        <v>0</v>
      </c>
      <c r="H65">
        <v>0</v>
      </c>
      <c r="M65">
        <v>0</v>
      </c>
      <c r="R65">
        <v>0</v>
      </c>
    </row>
    <row r="66" spans="3:18" x14ac:dyDescent="0.2">
      <c r="C66">
        <v>0</v>
      </c>
      <c r="H66">
        <v>0</v>
      </c>
      <c r="M66">
        <v>0</v>
      </c>
      <c r="R66">
        <v>0</v>
      </c>
    </row>
    <row r="67" spans="3:18" x14ac:dyDescent="0.2">
      <c r="C67">
        <v>0</v>
      </c>
      <c r="H67">
        <v>0</v>
      </c>
      <c r="M67">
        <v>0</v>
      </c>
      <c r="R67">
        <v>0</v>
      </c>
    </row>
    <row r="68" spans="3:18" x14ac:dyDescent="0.2">
      <c r="C68">
        <v>0</v>
      </c>
      <c r="H68">
        <v>0</v>
      </c>
      <c r="M68">
        <v>0</v>
      </c>
      <c r="R68">
        <v>0</v>
      </c>
    </row>
    <row r="69" spans="3:18" x14ac:dyDescent="0.2">
      <c r="C69">
        <v>0</v>
      </c>
      <c r="H69">
        <v>0</v>
      </c>
      <c r="M69">
        <v>0</v>
      </c>
      <c r="R69">
        <v>0</v>
      </c>
    </row>
    <row r="70" spans="3:18" x14ac:dyDescent="0.2">
      <c r="C70">
        <v>0</v>
      </c>
      <c r="H70">
        <v>0</v>
      </c>
      <c r="M70">
        <v>0</v>
      </c>
      <c r="R70">
        <v>0</v>
      </c>
    </row>
    <row r="71" spans="3:18" x14ac:dyDescent="0.2">
      <c r="C71">
        <v>0</v>
      </c>
      <c r="H71">
        <v>0</v>
      </c>
      <c r="M71">
        <v>0</v>
      </c>
      <c r="R71">
        <v>0</v>
      </c>
    </row>
    <row r="72" spans="3:18" x14ac:dyDescent="0.2">
      <c r="C72">
        <v>0</v>
      </c>
      <c r="H72">
        <v>0</v>
      </c>
      <c r="M72">
        <v>0</v>
      </c>
      <c r="R72">
        <v>0</v>
      </c>
    </row>
    <row r="73" spans="3:18" x14ac:dyDescent="0.2">
      <c r="C73">
        <v>0</v>
      </c>
      <c r="H73">
        <v>0</v>
      </c>
      <c r="M73">
        <v>0</v>
      </c>
      <c r="R73">
        <v>0</v>
      </c>
    </row>
    <row r="74" spans="3:18" x14ac:dyDescent="0.2">
      <c r="C74">
        <v>0</v>
      </c>
      <c r="H74">
        <v>0</v>
      </c>
      <c r="M74">
        <v>0</v>
      </c>
      <c r="R74">
        <v>0</v>
      </c>
    </row>
    <row r="75" spans="3:18" x14ac:dyDescent="0.2">
      <c r="C75">
        <v>0</v>
      </c>
      <c r="H75">
        <v>0</v>
      </c>
      <c r="M75">
        <v>0</v>
      </c>
      <c r="R75">
        <v>0</v>
      </c>
    </row>
    <row r="76" spans="3:18" x14ac:dyDescent="0.2">
      <c r="C76">
        <v>0</v>
      </c>
      <c r="H76">
        <v>0</v>
      </c>
      <c r="M76">
        <v>0</v>
      </c>
      <c r="R76">
        <v>0</v>
      </c>
    </row>
    <row r="77" spans="3:18" x14ac:dyDescent="0.2">
      <c r="C77">
        <v>0</v>
      </c>
      <c r="H77">
        <v>0</v>
      </c>
      <c r="M77">
        <v>0</v>
      </c>
      <c r="R77">
        <v>0</v>
      </c>
    </row>
    <row r="78" spans="3:18" x14ac:dyDescent="0.2">
      <c r="C78">
        <v>0</v>
      </c>
      <c r="H78">
        <v>0</v>
      </c>
      <c r="M78">
        <v>0</v>
      </c>
      <c r="R78">
        <v>0</v>
      </c>
    </row>
    <row r="79" spans="3:18" x14ac:dyDescent="0.2">
      <c r="C79">
        <v>0</v>
      </c>
      <c r="H79">
        <v>0</v>
      </c>
      <c r="M79">
        <v>0</v>
      </c>
      <c r="R79">
        <v>0</v>
      </c>
    </row>
    <row r="80" spans="3:18" x14ac:dyDescent="0.2">
      <c r="C80">
        <v>0</v>
      </c>
      <c r="H80">
        <v>0</v>
      </c>
      <c r="M80">
        <v>0</v>
      </c>
      <c r="R80">
        <v>0</v>
      </c>
    </row>
    <row r="81" spans="3:18" x14ac:dyDescent="0.2">
      <c r="C81">
        <v>0</v>
      </c>
      <c r="H81">
        <v>0</v>
      </c>
      <c r="M81">
        <v>0</v>
      </c>
      <c r="R81">
        <v>0</v>
      </c>
    </row>
    <row r="82" spans="3:18" x14ac:dyDescent="0.2">
      <c r="C82">
        <v>0</v>
      </c>
      <c r="H82">
        <v>0</v>
      </c>
      <c r="M82">
        <v>0</v>
      </c>
      <c r="R82">
        <v>0</v>
      </c>
    </row>
    <row r="83" spans="3:18" x14ac:dyDescent="0.2">
      <c r="C83">
        <v>0</v>
      </c>
      <c r="H83">
        <v>0</v>
      </c>
      <c r="M83">
        <v>0</v>
      </c>
      <c r="R83">
        <v>0</v>
      </c>
    </row>
    <row r="84" spans="3:18" x14ac:dyDescent="0.2">
      <c r="C84">
        <v>0</v>
      </c>
      <c r="H84">
        <v>0</v>
      </c>
      <c r="M84">
        <v>0</v>
      </c>
      <c r="R84">
        <v>0</v>
      </c>
    </row>
    <row r="85" spans="3:18" x14ac:dyDescent="0.2">
      <c r="C85">
        <v>0</v>
      </c>
      <c r="H85">
        <v>0</v>
      </c>
      <c r="M85">
        <v>0</v>
      </c>
      <c r="R85">
        <v>0</v>
      </c>
    </row>
    <row r="86" spans="3:18" x14ac:dyDescent="0.2">
      <c r="C86">
        <v>0</v>
      </c>
      <c r="H86">
        <v>0</v>
      </c>
      <c r="M86">
        <v>0</v>
      </c>
      <c r="R86">
        <v>0</v>
      </c>
    </row>
    <row r="87" spans="3:18" x14ac:dyDescent="0.2">
      <c r="C87">
        <v>0</v>
      </c>
      <c r="H87">
        <v>0</v>
      </c>
      <c r="M87">
        <v>0</v>
      </c>
      <c r="R87">
        <v>0</v>
      </c>
    </row>
    <row r="88" spans="3:18" x14ac:dyDescent="0.2">
      <c r="C88">
        <v>0</v>
      </c>
      <c r="H88">
        <v>0</v>
      </c>
      <c r="M88">
        <v>0</v>
      </c>
      <c r="R88">
        <v>0</v>
      </c>
    </row>
    <row r="89" spans="3:18" x14ac:dyDescent="0.2">
      <c r="C89">
        <v>0</v>
      </c>
      <c r="H89">
        <v>0</v>
      </c>
      <c r="M89">
        <v>0</v>
      </c>
      <c r="R89">
        <v>0</v>
      </c>
    </row>
    <row r="90" spans="3:18" x14ac:dyDescent="0.2">
      <c r="C90">
        <v>0</v>
      </c>
      <c r="H90">
        <v>0</v>
      </c>
      <c r="M90">
        <v>0</v>
      </c>
      <c r="R90">
        <v>0</v>
      </c>
    </row>
    <row r="91" spans="3:18" x14ac:dyDescent="0.2">
      <c r="C91">
        <v>0</v>
      </c>
      <c r="H91">
        <v>0</v>
      </c>
      <c r="M91">
        <v>0</v>
      </c>
      <c r="R91">
        <v>0</v>
      </c>
    </row>
    <row r="92" spans="3:18" x14ac:dyDescent="0.2">
      <c r="C92">
        <v>0</v>
      </c>
      <c r="H92">
        <v>0</v>
      </c>
      <c r="M92">
        <v>0</v>
      </c>
      <c r="R92">
        <v>0</v>
      </c>
    </row>
    <row r="93" spans="3:18" x14ac:dyDescent="0.2">
      <c r="C93">
        <v>0</v>
      </c>
      <c r="H93">
        <v>0</v>
      </c>
      <c r="M93">
        <v>0</v>
      </c>
      <c r="R93">
        <v>1</v>
      </c>
    </row>
    <row r="94" spans="3:18" x14ac:dyDescent="0.2">
      <c r="C94">
        <v>0</v>
      </c>
      <c r="H94">
        <v>0</v>
      </c>
      <c r="M94">
        <v>0</v>
      </c>
      <c r="R94">
        <v>0</v>
      </c>
    </row>
    <row r="95" spans="3:18" x14ac:dyDescent="0.2">
      <c r="C95">
        <v>1</v>
      </c>
      <c r="H95">
        <v>1</v>
      </c>
      <c r="M95">
        <v>1</v>
      </c>
      <c r="R95">
        <v>0</v>
      </c>
    </row>
    <row r="96" spans="3:18" x14ac:dyDescent="0.2">
      <c r="C96">
        <v>0</v>
      </c>
      <c r="H96">
        <v>0</v>
      </c>
      <c r="M96">
        <v>0</v>
      </c>
      <c r="R96">
        <v>0</v>
      </c>
    </row>
    <row r="97" spans="3:18" x14ac:dyDescent="0.2">
      <c r="C97">
        <v>0</v>
      </c>
      <c r="H97">
        <v>0</v>
      </c>
      <c r="M97">
        <v>0</v>
      </c>
      <c r="R97">
        <v>0</v>
      </c>
    </row>
    <row r="98" spans="3:18" x14ac:dyDescent="0.2">
      <c r="C98">
        <v>0</v>
      </c>
      <c r="H98">
        <v>0</v>
      </c>
      <c r="M98">
        <v>0</v>
      </c>
      <c r="R98">
        <v>0</v>
      </c>
    </row>
    <row r="99" spans="3:18" x14ac:dyDescent="0.2">
      <c r="C99">
        <v>0</v>
      </c>
      <c r="H99">
        <v>0</v>
      </c>
      <c r="M99">
        <v>0</v>
      </c>
      <c r="R99">
        <v>0</v>
      </c>
    </row>
    <row r="100" spans="3:18" x14ac:dyDescent="0.2">
      <c r="C100">
        <v>0</v>
      </c>
      <c r="H100">
        <v>0</v>
      </c>
      <c r="M100">
        <v>0</v>
      </c>
      <c r="R100">
        <v>0</v>
      </c>
    </row>
    <row r="101" spans="3:18" x14ac:dyDescent="0.2">
      <c r="C101">
        <v>0</v>
      </c>
      <c r="H101">
        <v>0</v>
      </c>
      <c r="M101">
        <v>0</v>
      </c>
      <c r="R101">
        <v>0</v>
      </c>
    </row>
    <row r="102" spans="3:18" x14ac:dyDescent="0.2">
      <c r="C102">
        <v>0</v>
      </c>
      <c r="H102">
        <v>0</v>
      </c>
      <c r="M102">
        <v>0</v>
      </c>
      <c r="R102">
        <v>0</v>
      </c>
    </row>
    <row r="103" spans="3:18" x14ac:dyDescent="0.2">
      <c r="C103">
        <v>0</v>
      </c>
      <c r="H103">
        <v>0</v>
      </c>
      <c r="M103">
        <v>0</v>
      </c>
      <c r="R103">
        <v>0</v>
      </c>
    </row>
    <row r="104" spans="3:18" x14ac:dyDescent="0.2">
      <c r="C104">
        <v>0</v>
      </c>
      <c r="H104">
        <v>0</v>
      </c>
      <c r="M104">
        <v>0</v>
      </c>
      <c r="R104">
        <v>0</v>
      </c>
    </row>
    <row r="105" spans="3:18" x14ac:dyDescent="0.2">
      <c r="C105">
        <v>0</v>
      </c>
      <c r="H105">
        <v>0</v>
      </c>
      <c r="M105">
        <v>0</v>
      </c>
      <c r="R105">
        <v>0</v>
      </c>
    </row>
    <row r="106" spans="3:18" x14ac:dyDescent="0.2">
      <c r="C106">
        <v>0</v>
      </c>
      <c r="H106">
        <v>0</v>
      </c>
      <c r="M106">
        <v>0</v>
      </c>
      <c r="R106">
        <v>0</v>
      </c>
    </row>
    <row r="107" spans="3:18" x14ac:dyDescent="0.2">
      <c r="C107">
        <v>0</v>
      </c>
      <c r="H107">
        <v>0</v>
      </c>
      <c r="M107">
        <v>0</v>
      </c>
      <c r="R107">
        <v>0</v>
      </c>
    </row>
    <row r="108" spans="3:18" x14ac:dyDescent="0.2">
      <c r="C108">
        <v>0</v>
      </c>
      <c r="H108">
        <v>0</v>
      </c>
      <c r="M108">
        <v>0</v>
      </c>
      <c r="R108">
        <v>0</v>
      </c>
    </row>
    <row r="109" spans="3:18" x14ac:dyDescent="0.2">
      <c r="C109">
        <v>0</v>
      </c>
      <c r="H109">
        <v>0</v>
      </c>
      <c r="M109">
        <v>0</v>
      </c>
      <c r="R109">
        <v>0</v>
      </c>
    </row>
    <row r="110" spans="3:18" x14ac:dyDescent="0.2">
      <c r="C110">
        <v>0</v>
      </c>
      <c r="H110">
        <v>0</v>
      </c>
      <c r="M110">
        <v>0</v>
      </c>
      <c r="R110">
        <v>0</v>
      </c>
    </row>
    <row r="111" spans="3:18" x14ac:dyDescent="0.2">
      <c r="C111">
        <v>0</v>
      </c>
      <c r="H111">
        <v>0</v>
      </c>
      <c r="M111">
        <v>0</v>
      </c>
      <c r="R111">
        <v>0</v>
      </c>
    </row>
    <row r="112" spans="3:18" x14ac:dyDescent="0.2">
      <c r="C112">
        <v>0</v>
      </c>
      <c r="H112">
        <v>0</v>
      </c>
      <c r="M112">
        <v>0</v>
      </c>
      <c r="R112">
        <v>0</v>
      </c>
    </row>
    <row r="113" spans="3:18" x14ac:dyDescent="0.2">
      <c r="C113">
        <v>0</v>
      </c>
      <c r="H113">
        <v>0</v>
      </c>
      <c r="M113">
        <v>0</v>
      </c>
      <c r="R113">
        <v>0</v>
      </c>
    </row>
    <row r="114" spans="3:18" x14ac:dyDescent="0.2">
      <c r="C114">
        <v>0</v>
      </c>
      <c r="H114">
        <v>0</v>
      </c>
      <c r="M114">
        <v>0</v>
      </c>
      <c r="R114">
        <v>0</v>
      </c>
    </row>
    <row r="115" spans="3:18" x14ac:dyDescent="0.2">
      <c r="C115">
        <v>0</v>
      </c>
      <c r="H115">
        <v>0</v>
      </c>
      <c r="M115">
        <v>0</v>
      </c>
      <c r="R115">
        <v>0</v>
      </c>
    </row>
    <row r="116" spans="3:18" x14ac:dyDescent="0.2">
      <c r="C116">
        <v>0</v>
      </c>
      <c r="H116">
        <v>0</v>
      </c>
      <c r="M116">
        <v>0</v>
      </c>
      <c r="R116">
        <v>0</v>
      </c>
    </row>
    <row r="117" spans="3:18" x14ac:dyDescent="0.2">
      <c r="C117">
        <v>0</v>
      </c>
      <c r="H117">
        <v>0</v>
      </c>
      <c r="M117">
        <v>0</v>
      </c>
      <c r="R117">
        <v>0</v>
      </c>
    </row>
    <row r="118" spans="3:18" x14ac:dyDescent="0.2">
      <c r="C118">
        <v>0</v>
      </c>
      <c r="H118">
        <v>0</v>
      </c>
      <c r="M118">
        <v>0</v>
      </c>
      <c r="R118">
        <v>0</v>
      </c>
    </row>
    <row r="119" spans="3:18" x14ac:dyDescent="0.2">
      <c r="C119">
        <v>0</v>
      </c>
      <c r="H119">
        <v>0</v>
      </c>
      <c r="M119">
        <v>0</v>
      </c>
      <c r="R119">
        <v>0</v>
      </c>
    </row>
    <row r="120" spans="3:18" x14ac:dyDescent="0.2">
      <c r="C120">
        <v>0</v>
      </c>
      <c r="H120">
        <v>0</v>
      </c>
      <c r="M120">
        <v>0</v>
      </c>
      <c r="R120">
        <v>0</v>
      </c>
    </row>
    <row r="121" spans="3:18" x14ac:dyDescent="0.2">
      <c r="C121">
        <v>0</v>
      </c>
      <c r="H121">
        <v>0</v>
      </c>
      <c r="M121">
        <v>0</v>
      </c>
      <c r="R121">
        <v>0</v>
      </c>
    </row>
    <row r="122" spans="3:18" x14ac:dyDescent="0.2">
      <c r="C122">
        <v>0</v>
      </c>
      <c r="H122">
        <v>0</v>
      </c>
      <c r="M122">
        <v>0</v>
      </c>
      <c r="R122">
        <v>0</v>
      </c>
    </row>
    <row r="123" spans="3:18" x14ac:dyDescent="0.2">
      <c r="C123">
        <v>0</v>
      </c>
      <c r="H123">
        <v>0</v>
      </c>
      <c r="M123">
        <v>0</v>
      </c>
      <c r="R123">
        <v>0</v>
      </c>
    </row>
    <row r="124" spans="3:18" x14ac:dyDescent="0.2">
      <c r="C124">
        <v>0</v>
      </c>
      <c r="H124">
        <v>0</v>
      </c>
      <c r="M124">
        <v>0</v>
      </c>
      <c r="R124">
        <v>0</v>
      </c>
    </row>
    <row r="125" spans="3:18" x14ac:dyDescent="0.2">
      <c r="C125">
        <v>0</v>
      </c>
      <c r="H125">
        <v>0</v>
      </c>
      <c r="M125">
        <v>0</v>
      </c>
      <c r="R125">
        <v>0</v>
      </c>
    </row>
    <row r="126" spans="3:18" x14ac:dyDescent="0.2">
      <c r="C126">
        <v>0</v>
      </c>
      <c r="H126">
        <v>0</v>
      </c>
      <c r="M126">
        <v>0</v>
      </c>
      <c r="R126">
        <v>0</v>
      </c>
    </row>
    <row r="127" spans="3:18" x14ac:dyDescent="0.2">
      <c r="C127">
        <v>0</v>
      </c>
      <c r="H127">
        <v>1</v>
      </c>
      <c r="M127">
        <v>0</v>
      </c>
      <c r="R127">
        <v>0</v>
      </c>
    </row>
    <row r="128" spans="3:18" x14ac:dyDescent="0.2">
      <c r="C128">
        <v>1</v>
      </c>
      <c r="H128">
        <v>0</v>
      </c>
      <c r="M128">
        <v>0</v>
      </c>
      <c r="R128">
        <v>1</v>
      </c>
    </row>
    <row r="129" spans="3:18" x14ac:dyDescent="0.2">
      <c r="C129">
        <v>0</v>
      </c>
      <c r="H129">
        <v>0</v>
      </c>
      <c r="M129">
        <v>0</v>
      </c>
      <c r="R129">
        <v>0</v>
      </c>
    </row>
    <row r="130" spans="3:18" x14ac:dyDescent="0.2">
      <c r="C130">
        <v>0</v>
      </c>
      <c r="H130">
        <v>0</v>
      </c>
      <c r="M130">
        <v>0</v>
      </c>
      <c r="R130">
        <v>0</v>
      </c>
    </row>
    <row r="131" spans="3:18" x14ac:dyDescent="0.2">
      <c r="C131">
        <v>0</v>
      </c>
      <c r="H131">
        <v>0</v>
      </c>
      <c r="M131">
        <v>0</v>
      </c>
      <c r="R131">
        <v>0</v>
      </c>
    </row>
    <row r="132" spans="3:18" x14ac:dyDescent="0.2">
      <c r="C132">
        <v>0</v>
      </c>
      <c r="H132">
        <v>0</v>
      </c>
      <c r="M132">
        <v>1</v>
      </c>
      <c r="R132">
        <v>0</v>
      </c>
    </row>
    <row r="133" spans="3:18" x14ac:dyDescent="0.2">
      <c r="C133">
        <v>0</v>
      </c>
      <c r="H133">
        <v>0</v>
      </c>
      <c r="M133">
        <v>0</v>
      </c>
      <c r="R133">
        <v>0</v>
      </c>
    </row>
    <row r="134" spans="3:18" x14ac:dyDescent="0.2">
      <c r="C134">
        <v>0</v>
      </c>
      <c r="H134">
        <v>0</v>
      </c>
      <c r="M134">
        <v>0</v>
      </c>
      <c r="R134">
        <v>0</v>
      </c>
    </row>
    <row r="135" spans="3:18" x14ac:dyDescent="0.2">
      <c r="C135">
        <v>0</v>
      </c>
      <c r="H135">
        <v>0</v>
      </c>
      <c r="M135">
        <v>0</v>
      </c>
      <c r="R135">
        <v>0</v>
      </c>
    </row>
    <row r="136" spans="3:18" x14ac:dyDescent="0.2">
      <c r="C136">
        <v>0</v>
      </c>
      <c r="H136">
        <v>0</v>
      </c>
      <c r="M136">
        <v>0</v>
      </c>
      <c r="R136">
        <v>0</v>
      </c>
    </row>
    <row r="137" spans="3:18" x14ac:dyDescent="0.2">
      <c r="C137">
        <v>0</v>
      </c>
      <c r="H137">
        <v>0</v>
      </c>
      <c r="M137">
        <v>0</v>
      </c>
      <c r="R137">
        <v>0</v>
      </c>
    </row>
    <row r="138" spans="3:18" x14ac:dyDescent="0.2">
      <c r="C138">
        <v>0</v>
      </c>
      <c r="H138">
        <v>0</v>
      </c>
      <c r="M138">
        <v>0</v>
      </c>
      <c r="R138">
        <v>0</v>
      </c>
    </row>
    <row r="139" spans="3:18" x14ac:dyDescent="0.2">
      <c r="C139">
        <v>0</v>
      </c>
      <c r="H139">
        <v>0</v>
      </c>
      <c r="M139">
        <v>0</v>
      </c>
      <c r="R139">
        <v>0</v>
      </c>
    </row>
    <row r="140" spans="3:18" x14ac:dyDescent="0.2">
      <c r="C140">
        <v>0</v>
      </c>
      <c r="H140">
        <v>0</v>
      </c>
      <c r="M140">
        <v>0</v>
      </c>
      <c r="R140">
        <v>0</v>
      </c>
    </row>
    <row r="141" spans="3:18" x14ac:dyDescent="0.2">
      <c r="C141">
        <v>0</v>
      </c>
      <c r="H141">
        <v>0</v>
      </c>
      <c r="M141">
        <v>0</v>
      </c>
      <c r="R141">
        <v>0</v>
      </c>
    </row>
    <row r="142" spans="3:18" x14ac:dyDescent="0.2">
      <c r="C142">
        <v>0</v>
      </c>
      <c r="H142">
        <v>0</v>
      </c>
      <c r="M142">
        <v>0</v>
      </c>
      <c r="R142">
        <v>0</v>
      </c>
    </row>
    <row r="143" spans="3:18" x14ac:dyDescent="0.2">
      <c r="C143">
        <v>0</v>
      </c>
      <c r="H143">
        <v>0</v>
      </c>
      <c r="M143">
        <v>0</v>
      </c>
      <c r="R143">
        <v>0</v>
      </c>
    </row>
    <row r="144" spans="3:18" x14ac:dyDescent="0.2">
      <c r="C144">
        <v>0</v>
      </c>
      <c r="H144">
        <v>0</v>
      </c>
      <c r="M144">
        <v>0</v>
      </c>
      <c r="R144">
        <v>0</v>
      </c>
    </row>
    <row r="145" spans="3:18" x14ac:dyDescent="0.2">
      <c r="C145">
        <v>0</v>
      </c>
      <c r="H145">
        <v>0</v>
      </c>
      <c r="M145">
        <v>0</v>
      </c>
      <c r="R145">
        <v>0</v>
      </c>
    </row>
    <row r="146" spans="3:18" x14ac:dyDescent="0.2">
      <c r="C146">
        <v>0</v>
      </c>
      <c r="H146">
        <v>0</v>
      </c>
      <c r="M146">
        <v>0</v>
      </c>
      <c r="R146">
        <v>0</v>
      </c>
    </row>
    <row r="147" spans="3:18" x14ac:dyDescent="0.2">
      <c r="C147">
        <v>0</v>
      </c>
      <c r="H147">
        <v>0</v>
      </c>
      <c r="M147">
        <v>0</v>
      </c>
      <c r="R147">
        <v>0</v>
      </c>
    </row>
    <row r="148" spans="3:18" x14ac:dyDescent="0.2">
      <c r="C148">
        <v>0</v>
      </c>
      <c r="H148">
        <v>0</v>
      </c>
      <c r="M148">
        <v>0</v>
      </c>
      <c r="R148">
        <v>0</v>
      </c>
    </row>
    <row r="149" spans="3:18" x14ac:dyDescent="0.2">
      <c r="C149">
        <v>0</v>
      </c>
      <c r="H149">
        <v>0</v>
      </c>
      <c r="M149">
        <v>0</v>
      </c>
      <c r="R149">
        <v>0</v>
      </c>
    </row>
    <row r="150" spans="3:18" x14ac:dyDescent="0.2">
      <c r="C150">
        <v>0</v>
      </c>
      <c r="H150">
        <v>0</v>
      </c>
      <c r="M150">
        <v>0</v>
      </c>
      <c r="R150">
        <v>0</v>
      </c>
    </row>
    <row r="151" spans="3:18" x14ac:dyDescent="0.2">
      <c r="C151">
        <v>0</v>
      </c>
      <c r="H151">
        <v>0</v>
      </c>
      <c r="M151">
        <v>0</v>
      </c>
      <c r="R151">
        <v>0</v>
      </c>
    </row>
    <row r="152" spans="3:18" x14ac:dyDescent="0.2">
      <c r="C152">
        <v>0</v>
      </c>
      <c r="H152">
        <v>0</v>
      </c>
      <c r="M152">
        <v>0</v>
      </c>
      <c r="R152">
        <v>0</v>
      </c>
    </row>
    <row r="153" spans="3:18" x14ac:dyDescent="0.2">
      <c r="C153">
        <v>0</v>
      </c>
      <c r="H153">
        <v>0</v>
      </c>
      <c r="M153">
        <v>0</v>
      </c>
      <c r="R153">
        <v>0</v>
      </c>
    </row>
    <row r="154" spans="3:18" x14ac:dyDescent="0.2">
      <c r="C154">
        <v>0</v>
      </c>
      <c r="H154">
        <v>0</v>
      </c>
      <c r="M154">
        <v>0</v>
      </c>
      <c r="R154">
        <v>0</v>
      </c>
    </row>
    <row r="155" spans="3:18" x14ac:dyDescent="0.2">
      <c r="C155">
        <v>0</v>
      </c>
      <c r="H155">
        <v>0</v>
      </c>
      <c r="M155">
        <v>0</v>
      </c>
      <c r="R155">
        <v>0</v>
      </c>
    </row>
    <row r="156" spans="3:18" x14ac:dyDescent="0.2">
      <c r="C156">
        <v>0</v>
      </c>
      <c r="H156">
        <v>0</v>
      </c>
      <c r="M156">
        <v>0</v>
      </c>
      <c r="R156">
        <v>0</v>
      </c>
    </row>
    <row r="157" spans="3:18" x14ac:dyDescent="0.2">
      <c r="C157">
        <v>0</v>
      </c>
      <c r="H157">
        <v>0</v>
      </c>
      <c r="M157">
        <v>0</v>
      </c>
      <c r="R157">
        <v>0</v>
      </c>
    </row>
    <row r="158" spans="3:18" x14ac:dyDescent="0.2">
      <c r="C158">
        <v>0</v>
      </c>
      <c r="H158">
        <v>0</v>
      </c>
      <c r="M158">
        <v>0</v>
      </c>
      <c r="R158">
        <v>0</v>
      </c>
    </row>
    <row r="159" spans="3:18" x14ac:dyDescent="0.2">
      <c r="C159">
        <v>0</v>
      </c>
      <c r="H159">
        <v>0</v>
      </c>
      <c r="M159">
        <v>0</v>
      </c>
      <c r="R159">
        <v>0</v>
      </c>
    </row>
    <row r="160" spans="3:18" x14ac:dyDescent="0.2">
      <c r="C160">
        <v>0</v>
      </c>
      <c r="H160">
        <v>0</v>
      </c>
      <c r="M160">
        <v>0</v>
      </c>
      <c r="R160">
        <v>0</v>
      </c>
    </row>
    <row r="161" spans="3:18" x14ac:dyDescent="0.2">
      <c r="C161">
        <v>0</v>
      </c>
      <c r="H161">
        <v>1</v>
      </c>
      <c r="M161">
        <v>0</v>
      </c>
      <c r="R161">
        <v>0</v>
      </c>
    </row>
    <row r="162" spans="3:18" x14ac:dyDescent="0.2">
      <c r="C162">
        <v>0</v>
      </c>
      <c r="H162">
        <v>0</v>
      </c>
      <c r="M162">
        <v>0</v>
      </c>
      <c r="R162">
        <v>0</v>
      </c>
    </row>
    <row r="163" spans="3:18" x14ac:dyDescent="0.2">
      <c r="C163">
        <v>0</v>
      </c>
      <c r="H163">
        <v>0</v>
      </c>
      <c r="M163">
        <v>0</v>
      </c>
      <c r="R163">
        <v>1</v>
      </c>
    </row>
    <row r="164" spans="3:18" x14ac:dyDescent="0.2">
      <c r="C164">
        <v>0</v>
      </c>
      <c r="H164">
        <v>0</v>
      </c>
      <c r="M164">
        <v>1</v>
      </c>
      <c r="R164">
        <v>0</v>
      </c>
    </row>
    <row r="165" spans="3:18" x14ac:dyDescent="0.2">
      <c r="C165">
        <v>1</v>
      </c>
      <c r="H165">
        <v>0</v>
      </c>
      <c r="M165">
        <v>0</v>
      </c>
      <c r="R165">
        <v>0</v>
      </c>
    </row>
    <row r="166" spans="3:18" x14ac:dyDescent="0.2">
      <c r="C166">
        <v>0</v>
      </c>
      <c r="H166">
        <v>0</v>
      </c>
      <c r="M166">
        <v>0</v>
      </c>
      <c r="R166">
        <v>0</v>
      </c>
    </row>
    <row r="167" spans="3:18" x14ac:dyDescent="0.2">
      <c r="C167">
        <v>0</v>
      </c>
      <c r="H167">
        <v>0</v>
      </c>
      <c r="M167">
        <v>0</v>
      </c>
      <c r="R167">
        <v>0</v>
      </c>
    </row>
    <row r="168" spans="3:18" x14ac:dyDescent="0.2">
      <c r="C168">
        <v>0</v>
      </c>
      <c r="H168">
        <v>0</v>
      </c>
      <c r="M168">
        <v>0</v>
      </c>
      <c r="R168">
        <v>0</v>
      </c>
    </row>
    <row r="169" spans="3:18" x14ac:dyDescent="0.2">
      <c r="C169">
        <v>0</v>
      </c>
      <c r="H169">
        <v>0</v>
      </c>
      <c r="M169">
        <v>0</v>
      </c>
      <c r="R169">
        <v>0</v>
      </c>
    </row>
    <row r="170" spans="3:18" x14ac:dyDescent="0.2">
      <c r="C170">
        <v>0</v>
      </c>
      <c r="H170">
        <v>0</v>
      </c>
      <c r="M170">
        <v>0</v>
      </c>
      <c r="R170">
        <v>0</v>
      </c>
    </row>
    <row r="171" spans="3:18" x14ac:dyDescent="0.2">
      <c r="C171">
        <v>0</v>
      </c>
      <c r="H171">
        <v>0</v>
      </c>
      <c r="M171">
        <v>0</v>
      </c>
      <c r="R171">
        <v>0</v>
      </c>
    </row>
    <row r="172" spans="3:18" x14ac:dyDescent="0.2">
      <c r="C172">
        <v>0</v>
      </c>
      <c r="H172">
        <v>0</v>
      </c>
      <c r="M172">
        <v>0</v>
      </c>
      <c r="R172">
        <v>0</v>
      </c>
    </row>
    <row r="173" spans="3:18" x14ac:dyDescent="0.2">
      <c r="C173">
        <v>0</v>
      </c>
      <c r="H173">
        <v>0</v>
      </c>
      <c r="M173">
        <v>0</v>
      </c>
      <c r="R173">
        <v>0</v>
      </c>
    </row>
    <row r="174" spans="3:18" x14ac:dyDescent="0.2">
      <c r="C174">
        <v>0</v>
      </c>
      <c r="H174">
        <v>0</v>
      </c>
      <c r="M174">
        <v>0</v>
      </c>
      <c r="R174">
        <v>0</v>
      </c>
    </row>
    <row r="175" spans="3:18" x14ac:dyDescent="0.2">
      <c r="C175">
        <v>0</v>
      </c>
      <c r="H175">
        <v>0</v>
      </c>
      <c r="M175">
        <v>0</v>
      </c>
      <c r="R175">
        <v>0</v>
      </c>
    </row>
    <row r="176" spans="3:18" x14ac:dyDescent="0.2">
      <c r="C176">
        <v>0</v>
      </c>
      <c r="H176">
        <v>0</v>
      </c>
      <c r="M176">
        <v>0</v>
      </c>
      <c r="R176">
        <v>0</v>
      </c>
    </row>
    <row r="177" spans="3:18" x14ac:dyDescent="0.2">
      <c r="C177">
        <v>0</v>
      </c>
      <c r="H177">
        <v>0</v>
      </c>
      <c r="M177">
        <v>0</v>
      </c>
      <c r="R177">
        <v>0</v>
      </c>
    </row>
    <row r="178" spans="3:18" x14ac:dyDescent="0.2">
      <c r="C178">
        <v>0</v>
      </c>
      <c r="H178">
        <v>0</v>
      </c>
      <c r="M178">
        <v>0</v>
      </c>
      <c r="R178">
        <v>0</v>
      </c>
    </row>
    <row r="179" spans="3:18" x14ac:dyDescent="0.2">
      <c r="C179">
        <v>0</v>
      </c>
      <c r="H179">
        <v>0</v>
      </c>
      <c r="M179">
        <v>0</v>
      </c>
      <c r="R179">
        <v>0</v>
      </c>
    </row>
    <row r="180" spans="3:18" x14ac:dyDescent="0.2">
      <c r="C180">
        <v>0</v>
      </c>
      <c r="H180">
        <v>0</v>
      </c>
      <c r="M180">
        <v>0</v>
      </c>
      <c r="R180">
        <v>0</v>
      </c>
    </row>
    <row r="181" spans="3:18" x14ac:dyDescent="0.2">
      <c r="C181">
        <v>0</v>
      </c>
      <c r="H181">
        <v>0</v>
      </c>
      <c r="M181">
        <v>0</v>
      </c>
      <c r="R181">
        <v>0</v>
      </c>
    </row>
    <row r="182" spans="3:18" x14ac:dyDescent="0.2">
      <c r="C182">
        <v>0</v>
      </c>
      <c r="H182">
        <v>0</v>
      </c>
      <c r="M182">
        <v>0</v>
      </c>
      <c r="R182">
        <v>0</v>
      </c>
    </row>
    <row r="183" spans="3:18" x14ac:dyDescent="0.2">
      <c r="C183">
        <v>0</v>
      </c>
      <c r="H183">
        <v>0</v>
      </c>
      <c r="M183">
        <v>0</v>
      </c>
      <c r="R183">
        <v>0</v>
      </c>
    </row>
    <row r="184" spans="3:18" x14ac:dyDescent="0.2">
      <c r="C184">
        <v>0</v>
      </c>
      <c r="H184">
        <v>0</v>
      </c>
      <c r="M184">
        <v>0</v>
      </c>
      <c r="R184">
        <v>0</v>
      </c>
    </row>
    <row r="185" spans="3:18" x14ac:dyDescent="0.2">
      <c r="C185">
        <v>0</v>
      </c>
      <c r="H185">
        <v>0</v>
      </c>
      <c r="M185">
        <v>0</v>
      </c>
      <c r="R185">
        <v>0</v>
      </c>
    </row>
    <row r="186" spans="3:18" x14ac:dyDescent="0.2">
      <c r="C186">
        <v>0</v>
      </c>
      <c r="H186">
        <v>0</v>
      </c>
      <c r="M186">
        <v>0</v>
      </c>
      <c r="R186">
        <v>0</v>
      </c>
    </row>
    <row r="187" spans="3:18" x14ac:dyDescent="0.2">
      <c r="C187">
        <v>0</v>
      </c>
      <c r="H187">
        <v>0</v>
      </c>
      <c r="M187">
        <v>0</v>
      </c>
      <c r="R187">
        <v>0</v>
      </c>
    </row>
    <row r="188" spans="3:18" x14ac:dyDescent="0.2">
      <c r="C188">
        <v>0</v>
      </c>
      <c r="H188">
        <v>0</v>
      </c>
      <c r="M188">
        <v>0</v>
      </c>
      <c r="R188">
        <v>0</v>
      </c>
    </row>
    <row r="189" spans="3:18" x14ac:dyDescent="0.2">
      <c r="C189">
        <v>0</v>
      </c>
      <c r="H189">
        <v>0</v>
      </c>
      <c r="M189">
        <v>0</v>
      </c>
      <c r="R189">
        <v>0</v>
      </c>
    </row>
    <row r="190" spans="3:18" x14ac:dyDescent="0.2">
      <c r="C190">
        <v>0</v>
      </c>
      <c r="H190">
        <v>0</v>
      </c>
      <c r="M190">
        <v>0</v>
      </c>
      <c r="R190">
        <v>0</v>
      </c>
    </row>
    <row r="191" spans="3:18" x14ac:dyDescent="0.2">
      <c r="C191">
        <v>0</v>
      </c>
      <c r="H191">
        <v>0</v>
      </c>
      <c r="M191">
        <v>0</v>
      </c>
      <c r="R191">
        <v>0</v>
      </c>
    </row>
    <row r="192" spans="3:18" x14ac:dyDescent="0.2">
      <c r="C192">
        <v>0</v>
      </c>
      <c r="H192">
        <v>0</v>
      </c>
      <c r="M192">
        <v>0</v>
      </c>
      <c r="R192">
        <v>0</v>
      </c>
    </row>
    <row r="193" spans="3:18" x14ac:dyDescent="0.2">
      <c r="C193">
        <v>0</v>
      </c>
      <c r="H193">
        <v>0</v>
      </c>
      <c r="M193">
        <v>0</v>
      </c>
      <c r="R193">
        <v>0</v>
      </c>
    </row>
    <row r="194" spans="3:18" x14ac:dyDescent="0.2">
      <c r="C194">
        <v>0</v>
      </c>
      <c r="H194">
        <v>0</v>
      </c>
      <c r="M194">
        <v>0</v>
      </c>
      <c r="R194">
        <v>0</v>
      </c>
    </row>
    <row r="195" spans="3:18" x14ac:dyDescent="0.2">
      <c r="C195">
        <v>0</v>
      </c>
      <c r="H195">
        <v>0</v>
      </c>
      <c r="M195">
        <v>0</v>
      </c>
      <c r="R195">
        <v>0</v>
      </c>
    </row>
    <row r="196" spans="3:18" x14ac:dyDescent="0.2">
      <c r="C196">
        <v>0</v>
      </c>
      <c r="H196">
        <v>0</v>
      </c>
      <c r="M196">
        <v>0</v>
      </c>
      <c r="R196">
        <v>1</v>
      </c>
    </row>
    <row r="197" spans="3:18" x14ac:dyDescent="0.2">
      <c r="C197">
        <v>0</v>
      </c>
      <c r="H197">
        <v>1</v>
      </c>
      <c r="M197">
        <v>0</v>
      </c>
      <c r="R197">
        <v>0</v>
      </c>
    </row>
    <row r="198" spans="3:18" x14ac:dyDescent="0.2">
      <c r="C198">
        <v>0</v>
      </c>
      <c r="H198">
        <v>0</v>
      </c>
      <c r="M198">
        <v>0</v>
      </c>
      <c r="R198">
        <v>0</v>
      </c>
    </row>
    <row r="199" spans="3:18" x14ac:dyDescent="0.2">
      <c r="C199">
        <v>0</v>
      </c>
      <c r="H199">
        <v>0</v>
      </c>
      <c r="M199">
        <v>0</v>
      </c>
      <c r="R199">
        <v>0</v>
      </c>
    </row>
    <row r="200" spans="3:18" x14ac:dyDescent="0.2">
      <c r="C200">
        <v>0</v>
      </c>
      <c r="H200">
        <v>0</v>
      </c>
      <c r="M200">
        <v>1</v>
      </c>
      <c r="R200">
        <v>0</v>
      </c>
    </row>
    <row r="201" spans="3:18" x14ac:dyDescent="0.2">
      <c r="C201">
        <v>0</v>
      </c>
      <c r="H201">
        <v>0</v>
      </c>
      <c r="M201">
        <v>0</v>
      </c>
      <c r="R201">
        <v>0</v>
      </c>
    </row>
    <row r="202" spans="3:18" x14ac:dyDescent="0.2">
      <c r="C202">
        <v>1</v>
      </c>
      <c r="H202">
        <v>0</v>
      </c>
      <c r="M202">
        <v>0</v>
      </c>
      <c r="R202">
        <v>0</v>
      </c>
    </row>
    <row r="203" spans="3:18" x14ac:dyDescent="0.2">
      <c r="C203">
        <v>0</v>
      </c>
      <c r="H203">
        <v>0</v>
      </c>
      <c r="M203">
        <v>0</v>
      </c>
      <c r="R203">
        <v>0</v>
      </c>
    </row>
    <row r="204" spans="3:18" x14ac:dyDescent="0.2">
      <c r="C204">
        <v>0</v>
      </c>
      <c r="H204">
        <v>0</v>
      </c>
      <c r="M204">
        <v>0</v>
      </c>
      <c r="R204">
        <v>0</v>
      </c>
    </row>
    <row r="205" spans="3:18" x14ac:dyDescent="0.2">
      <c r="C205">
        <v>0</v>
      </c>
      <c r="H205">
        <v>0</v>
      </c>
      <c r="M205">
        <v>0</v>
      </c>
      <c r="R205">
        <v>0</v>
      </c>
    </row>
    <row r="206" spans="3:18" x14ac:dyDescent="0.2">
      <c r="C206">
        <v>0</v>
      </c>
      <c r="H206">
        <v>0</v>
      </c>
      <c r="M206">
        <v>0</v>
      </c>
      <c r="R206">
        <v>0</v>
      </c>
    </row>
    <row r="207" spans="3:18" x14ac:dyDescent="0.2">
      <c r="C207">
        <v>0</v>
      </c>
      <c r="H207">
        <v>0</v>
      </c>
      <c r="M207">
        <v>0</v>
      </c>
      <c r="R207">
        <v>0</v>
      </c>
    </row>
    <row r="208" spans="3:18" x14ac:dyDescent="0.2">
      <c r="C208">
        <v>0</v>
      </c>
      <c r="H208">
        <v>0</v>
      </c>
      <c r="M208">
        <v>0</v>
      </c>
      <c r="R208">
        <v>0</v>
      </c>
    </row>
    <row r="209" spans="3:18" x14ac:dyDescent="0.2">
      <c r="C209">
        <v>0</v>
      </c>
      <c r="H209">
        <v>0</v>
      </c>
      <c r="M209">
        <v>0</v>
      </c>
      <c r="R209">
        <v>0</v>
      </c>
    </row>
    <row r="210" spans="3:18" x14ac:dyDescent="0.2">
      <c r="C210">
        <v>0</v>
      </c>
      <c r="H210">
        <v>0</v>
      </c>
      <c r="M210">
        <v>0</v>
      </c>
      <c r="R210">
        <v>0</v>
      </c>
    </row>
    <row r="211" spans="3:18" x14ac:dyDescent="0.2">
      <c r="C211">
        <v>0</v>
      </c>
      <c r="H211">
        <v>0</v>
      </c>
      <c r="M211">
        <v>0</v>
      </c>
      <c r="R211">
        <v>0</v>
      </c>
    </row>
    <row r="212" spans="3:18" x14ac:dyDescent="0.2">
      <c r="C212">
        <v>0</v>
      </c>
      <c r="H212">
        <v>0</v>
      </c>
      <c r="M212">
        <v>0</v>
      </c>
      <c r="R212">
        <v>0</v>
      </c>
    </row>
    <row r="213" spans="3:18" x14ac:dyDescent="0.2">
      <c r="C213">
        <v>0</v>
      </c>
      <c r="H213">
        <v>0</v>
      </c>
      <c r="M213">
        <v>0</v>
      </c>
      <c r="R213">
        <v>0</v>
      </c>
    </row>
    <row r="214" spans="3:18" x14ac:dyDescent="0.2">
      <c r="C214">
        <v>0</v>
      </c>
      <c r="H214">
        <v>0</v>
      </c>
      <c r="M214">
        <v>0</v>
      </c>
      <c r="R214">
        <v>0</v>
      </c>
    </row>
    <row r="215" spans="3:18" x14ac:dyDescent="0.2">
      <c r="C215">
        <v>0</v>
      </c>
      <c r="H215">
        <v>0</v>
      </c>
      <c r="M215">
        <v>0</v>
      </c>
      <c r="R215">
        <v>0</v>
      </c>
    </row>
    <row r="216" spans="3:18" x14ac:dyDescent="0.2">
      <c r="C216">
        <v>0</v>
      </c>
      <c r="H216">
        <v>0</v>
      </c>
      <c r="M216">
        <v>0</v>
      </c>
      <c r="R216">
        <v>0</v>
      </c>
    </row>
    <row r="217" spans="3:18" x14ac:dyDescent="0.2">
      <c r="C217">
        <v>0</v>
      </c>
      <c r="H217">
        <v>0</v>
      </c>
      <c r="M217">
        <v>0</v>
      </c>
      <c r="R217">
        <v>0</v>
      </c>
    </row>
    <row r="218" spans="3:18" x14ac:dyDescent="0.2">
      <c r="C218">
        <v>0</v>
      </c>
      <c r="H218">
        <v>0</v>
      </c>
      <c r="M218">
        <v>0</v>
      </c>
      <c r="R218">
        <v>0</v>
      </c>
    </row>
    <row r="219" spans="3:18" x14ac:dyDescent="0.2">
      <c r="C219">
        <v>0</v>
      </c>
      <c r="H219">
        <v>0</v>
      </c>
      <c r="M219">
        <v>0</v>
      </c>
      <c r="R219">
        <v>0</v>
      </c>
    </row>
    <row r="220" spans="3:18" x14ac:dyDescent="0.2">
      <c r="C220">
        <v>0</v>
      </c>
      <c r="H220">
        <v>0</v>
      </c>
      <c r="M220">
        <v>0</v>
      </c>
      <c r="R220">
        <v>0</v>
      </c>
    </row>
    <row r="221" spans="3:18" x14ac:dyDescent="0.2">
      <c r="C221">
        <v>0</v>
      </c>
      <c r="H221">
        <v>0</v>
      </c>
      <c r="M221">
        <v>0</v>
      </c>
      <c r="R221">
        <v>0</v>
      </c>
    </row>
    <row r="222" spans="3:18" x14ac:dyDescent="0.2">
      <c r="C222">
        <v>0</v>
      </c>
      <c r="H222">
        <v>0</v>
      </c>
      <c r="M222">
        <v>0</v>
      </c>
      <c r="R222">
        <v>0</v>
      </c>
    </row>
    <row r="223" spans="3:18" x14ac:dyDescent="0.2">
      <c r="C223">
        <v>0</v>
      </c>
      <c r="H223">
        <v>0</v>
      </c>
      <c r="M223">
        <v>0</v>
      </c>
      <c r="R223">
        <v>0</v>
      </c>
    </row>
    <row r="224" spans="3:18" x14ac:dyDescent="0.2">
      <c r="C224">
        <v>0</v>
      </c>
      <c r="H224">
        <v>0</v>
      </c>
      <c r="M224">
        <v>0</v>
      </c>
      <c r="R224">
        <v>0</v>
      </c>
    </row>
    <row r="225" spans="3:18" x14ac:dyDescent="0.2">
      <c r="C225">
        <v>0</v>
      </c>
      <c r="H225">
        <v>0</v>
      </c>
      <c r="M225">
        <v>0</v>
      </c>
      <c r="R225">
        <v>0</v>
      </c>
    </row>
    <row r="226" spans="3:18" x14ac:dyDescent="0.2">
      <c r="C226">
        <v>0</v>
      </c>
      <c r="H226">
        <v>0</v>
      </c>
      <c r="M226">
        <v>0</v>
      </c>
      <c r="R226">
        <v>0</v>
      </c>
    </row>
    <row r="227" spans="3:18" x14ac:dyDescent="0.2">
      <c r="C227">
        <v>0</v>
      </c>
      <c r="H227">
        <v>0</v>
      </c>
      <c r="M227">
        <v>0</v>
      </c>
      <c r="R227">
        <v>0</v>
      </c>
    </row>
    <row r="228" spans="3:18" x14ac:dyDescent="0.2">
      <c r="C228">
        <v>0</v>
      </c>
      <c r="H228">
        <v>0</v>
      </c>
      <c r="M228">
        <v>0</v>
      </c>
      <c r="R228">
        <v>0</v>
      </c>
    </row>
    <row r="229" spans="3:18" x14ac:dyDescent="0.2">
      <c r="C229">
        <v>0</v>
      </c>
      <c r="H229">
        <v>1</v>
      </c>
      <c r="M229">
        <v>0</v>
      </c>
      <c r="R229">
        <v>0</v>
      </c>
    </row>
    <row r="230" spans="3:18" x14ac:dyDescent="0.2">
      <c r="C230">
        <v>0</v>
      </c>
      <c r="H230">
        <v>0</v>
      </c>
      <c r="M230">
        <v>0</v>
      </c>
      <c r="R230">
        <v>0</v>
      </c>
    </row>
    <row r="231" spans="3:18" x14ac:dyDescent="0.2">
      <c r="C231">
        <v>0</v>
      </c>
      <c r="H231">
        <v>0</v>
      </c>
      <c r="M231">
        <v>0</v>
      </c>
      <c r="R231">
        <v>0</v>
      </c>
    </row>
    <row r="232" spans="3:18" x14ac:dyDescent="0.2">
      <c r="C232">
        <v>0</v>
      </c>
      <c r="H232">
        <v>0</v>
      </c>
      <c r="M232">
        <v>0</v>
      </c>
      <c r="R232">
        <v>1</v>
      </c>
    </row>
    <row r="233" spans="3:18" x14ac:dyDescent="0.2">
      <c r="C233">
        <v>0</v>
      </c>
      <c r="H233">
        <v>0</v>
      </c>
      <c r="M233">
        <v>0</v>
      </c>
      <c r="R233">
        <v>0</v>
      </c>
    </row>
    <row r="234" spans="3:18" x14ac:dyDescent="0.2">
      <c r="C234">
        <v>0</v>
      </c>
      <c r="H234">
        <v>0</v>
      </c>
      <c r="M234">
        <v>1</v>
      </c>
      <c r="R234">
        <v>0</v>
      </c>
    </row>
    <row r="235" spans="3:18" x14ac:dyDescent="0.2">
      <c r="C235">
        <v>0</v>
      </c>
      <c r="H235">
        <v>0</v>
      </c>
      <c r="M235">
        <v>0</v>
      </c>
      <c r="R235">
        <v>0</v>
      </c>
    </row>
    <row r="236" spans="3:18" x14ac:dyDescent="0.2">
      <c r="C236">
        <v>1</v>
      </c>
      <c r="H236">
        <v>0</v>
      </c>
      <c r="M236">
        <v>0</v>
      </c>
      <c r="R236">
        <v>0</v>
      </c>
    </row>
    <row r="237" spans="3:18" x14ac:dyDescent="0.2">
      <c r="C237">
        <v>0</v>
      </c>
      <c r="H237">
        <v>0</v>
      </c>
      <c r="M237">
        <v>0</v>
      </c>
      <c r="R237">
        <v>0</v>
      </c>
    </row>
    <row r="238" spans="3:18" x14ac:dyDescent="0.2">
      <c r="C238">
        <v>0</v>
      </c>
      <c r="H238">
        <v>0</v>
      </c>
      <c r="M238">
        <v>0</v>
      </c>
      <c r="R238">
        <v>0</v>
      </c>
    </row>
    <row r="239" spans="3:18" x14ac:dyDescent="0.2">
      <c r="C239">
        <v>0</v>
      </c>
      <c r="H239">
        <v>0</v>
      </c>
      <c r="M239">
        <v>0</v>
      </c>
      <c r="R239">
        <v>0</v>
      </c>
    </row>
    <row r="240" spans="3:18" x14ac:dyDescent="0.2">
      <c r="C240">
        <v>0</v>
      </c>
      <c r="H240">
        <v>0</v>
      </c>
      <c r="M240">
        <v>0</v>
      </c>
      <c r="R240">
        <v>0</v>
      </c>
    </row>
    <row r="241" spans="3:18" x14ac:dyDescent="0.2">
      <c r="C241">
        <v>0</v>
      </c>
      <c r="H241">
        <v>0</v>
      </c>
      <c r="M241">
        <v>0</v>
      </c>
      <c r="R241">
        <v>0</v>
      </c>
    </row>
    <row r="242" spans="3:18" x14ac:dyDescent="0.2">
      <c r="C242">
        <v>0</v>
      </c>
      <c r="H242">
        <v>0</v>
      </c>
      <c r="M242">
        <v>0</v>
      </c>
      <c r="R242">
        <v>0</v>
      </c>
    </row>
    <row r="243" spans="3:18" x14ac:dyDescent="0.2">
      <c r="C243">
        <v>0</v>
      </c>
      <c r="H243">
        <v>0</v>
      </c>
      <c r="M243">
        <v>0</v>
      </c>
      <c r="R243">
        <v>0</v>
      </c>
    </row>
    <row r="244" spans="3:18" x14ac:dyDescent="0.2">
      <c r="C244">
        <v>0</v>
      </c>
      <c r="H244">
        <v>0</v>
      </c>
      <c r="M244">
        <v>0</v>
      </c>
      <c r="R244">
        <v>0</v>
      </c>
    </row>
    <row r="245" spans="3:18" x14ac:dyDescent="0.2">
      <c r="C245">
        <v>0</v>
      </c>
      <c r="H245">
        <v>0</v>
      </c>
      <c r="M245">
        <v>0</v>
      </c>
      <c r="R245">
        <v>0</v>
      </c>
    </row>
    <row r="246" spans="3:18" x14ac:dyDescent="0.2">
      <c r="C246">
        <v>0</v>
      </c>
      <c r="H246">
        <v>0</v>
      </c>
      <c r="M246">
        <v>0</v>
      </c>
      <c r="R246">
        <v>0</v>
      </c>
    </row>
    <row r="247" spans="3:18" x14ac:dyDescent="0.2">
      <c r="C247">
        <v>0</v>
      </c>
      <c r="H247">
        <v>0</v>
      </c>
      <c r="M247">
        <v>0</v>
      </c>
      <c r="R247">
        <v>0</v>
      </c>
    </row>
    <row r="248" spans="3:18" x14ac:dyDescent="0.2">
      <c r="C248">
        <v>0</v>
      </c>
      <c r="H248">
        <v>0</v>
      </c>
      <c r="M248">
        <v>0</v>
      </c>
      <c r="R248">
        <v>0</v>
      </c>
    </row>
    <row r="249" spans="3:18" x14ac:dyDescent="0.2">
      <c r="C249">
        <v>0</v>
      </c>
      <c r="H249">
        <v>0</v>
      </c>
      <c r="M249">
        <v>0</v>
      </c>
      <c r="R249">
        <v>0</v>
      </c>
    </row>
    <row r="250" spans="3:18" x14ac:dyDescent="0.2">
      <c r="C250">
        <v>0</v>
      </c>
      <c r="H250">
        <v>0</v>
      </c>
      <c r="M250">
        <v>0</v>
      </c>
      <c r="R250">
        <v>0</v>
      </c>
    </row>
    <row r="251" spans="3:18" x14ac:dyDescent="0.2">
      <c r="C251">
        <v>0</v>
      </c>
      <c r="H251">
        <v>0</v>
      </c>
      <c r="M251">
        <v>0</v>
      </c>
      <c r="R251">
        <v>0</v>
      </c>
    </row>
    <row r="252" spans="3:18" x14ac:dyDescent="0.2">
      <c r="C252">
        <v>0</v>
      </c>
      <c r="H252">
        <v>0</v>
      </c>
      <c r="M252">
        <v>0</v>
      </c>
      <c r="R252">
        <v>0</v>
      </c>
    </row>
    <row r="253" spans="3:18" x14ac:dyDescent="0.2">
      <c r="C253">
        <v>0</v>
      </c>
      <c r="H253">
        <v>0</v>
      </c>
      <c r="M253">
        <v>0</v>
      </c>
      <c r="R253">
        <v>0</v>
      </c>
    </row>
    <row r="254" spans="3:18" x14ac:dyDescent="0.2">
      <c r="C254">
        <v>0</v>
      </c>
      <c r="H254">
        <v>0</v>
      </c>
      <c r="M254">
        <v>0</v>
      </c>
      <c r="R254">
        <v>0</v>
      </c>
    </row>
    <row r="255" spans="3:18" x14ac:dyDescent="0.2">
      <c r="C255">
        <v>0</v>
      </c>
      <c r="H255">
        <v>0</v>
      </c>
      <c r="M255">
        <v>0</v>
      </c>
      <c r="R255">
        <v>0</v>
      </c>
    </row>
    <row r="256" spans="3:18" x14ac:dyDescent="0.2">
      <c r="C256">
        <v>0</v>
      </c>
      <c r="H256">
        <v>0</v>
      </c>
      <c r="M256">
        <v>0</v>
      </c>
      <c r="R256">
        <v>0</v>
      </c>
    </row>
    <row r="257" spans="3:18" x14ac:dyDescent="0.2">
      <c r="C257">
        <v>0</v>
      </c>
      <c r="H257">
        <v>0</v>
      </c>
      <c r="M257">
        <v>0</v>
      </c>
      <c r="R257">
        <v>0</v>
      </c>
    </row>
    <row r="258" spans="3:18" x14ac:dyDescent="0.2">
      <c r="C258">
        <v>0</v>
      </c>
      <c r="H258">
        <v>0</v>
      </c>
      <c r="M258">
        <v>0</v>
      </c>
      <c r="R258">
        <v>0</v>
      </c>
    </row>
    <row r="259" spans="3:18" x14ac:dyDescent="0.2">
      <c r="C259">
        <v>0</v>
      </c>
      <c r="H259">
        <v>0</v>
      </c>
      <c r="M259">
        <v>0</v>
      </c>
      <c r="R259">
        <v>0</v>
      </c>
    </row>
    <row r="260" spans="3:18" x14ac:dyDescent="0.2">
      <c r="C260">
        <v>0</v>
      </c>
      <c r="H260">
        <v>0</v>
      </c>
      <c r="M260">
        <v>0</v>
      </c>
      <c r="R260">
        <v>0</v>
      </c>
    </row>
    <row r="261" spans="3:18" x14ac:dyDescent="0.2">
      <c r="C261">
        <v>0</v>
      </c>
      <c r="H261">
        <v>0</v>
      </c>
      <c r="M261">
        <v>0</v>
      </c>
      <c r="R261">
        <v>0</v>
      </c>
    </row>
    <row r="262" spans="3:18" x14ac:dyDescent="0.2">
      <c r="C262">
        <v>0</v>
      </c>
      <c r="H262">
        <v>0</v>
      </c>
      <c r="M262">
        <v>0</v>
      </c>
      <c r="R262">
        <v>0</v>
      </c>
    </row>
    <row r="263" spans="3:18" x14ac:dyDescent="0.2">
      <c r="C263">
        <v>0</v>
      </c>
      <c r="H263">
        <v>0</v>
      </c>
      <c r="M263">
        <v>0</v>
      </c>
      <c r="R263">
        <v>0</v>
      </c>
    </row>
    <row r="264" spans="3:18" x14ac:dyDescent="0.2">
      <c r="C264">
        <v>0</v>
      </c>
      <c r="H264">
        <v>0</v>
      </c>
      <c r="M264">
        <v>0</v>
      </c>
      <c r="R264">
        <v>0</v>
      </c>
    </row>
    <row r="265" spans="3:18" x14ac:dyDescent="0.2">
      <c r="C265">
        <v>0</v>
      </c>
      <c r="H265">
        <v>0</v>
      </c>
      <c r="M265">
        <v>0</v>
      </c>
      <c r="R265">
        <v>1</v>
      </c>
    </row>
    <row r="266" spans="3:18" x14ac:dyDescent="0.2">
      <c r="C266">
        <v>0</v>
      </c>
      <c r="H266">
        <v>1</v>
      </c>
      <c r="M266">
        <v>0</v>
      </c>
      <c r="R266">
        <v>0</v>
      </c>
    </row>
    <row r="267" spans="3:18" x14ac:dyDescent="0.2">
      <c r="C267">
        <v>0</v>
      </c>
      <c r="H267">
        <v>0</v>
      </c>
      <c r="M267">
        <v>0</v>
      </c>
      <c r="R267">
        <v>0</v>
      </c>
    </row>
    <row r="268" spans="3:18" x14ac:dyDescent="0.2">
      <c r="C268">
        <v>0</v>
      </c>
      <c r="H268">
        <v>0</v>
      </c>
      <c r="M268">
        <v>0</v>
      </c>
      <c r="R268">
        <v>0</v>
      </c>
    </row>
    <row r="269" spans="3:18" x14ac:dyDescent="0.2">
      <c r="C269">
        <v>0</v>
      </c>
      <c r="H269">
        <v>0</v>
      </c>
      <c r="M269">
        <v>0</v>
      </c>
      <c r="R269">
        <v>0</v>
      </c>
    </row>
    <row r="270" spans="3:18" x14ac:dyDescent="0.2">
      <c r="C270">
        <v>0</v>
      </c>
      <c r="H270">
        <v>0</v>
      </c>
      <c r="M270">
        <v>0</v>
      </c>
      <c r="R270">
        <v>0</v>
      </c>
    </row>
    <row r="271" spans="3:18" x14ac:dyDescent="0.2">
      <c r="C271">
        <v>1</v>
      </c>
      <c r="H271">
        <v>0</v>
      </c>
      <c r="M271">
        <v>1</v>
      </c>
      <c r="R271">
        <v>0</v>
      </c>
    </row>
    <row r="272" spans="3:18" x14ac:dyDescent="0.2">
      <c r="C272">
        <v>0</v>
      </c>
      <c r="H272">
        <v>0</v>
      </c>
      <c r="M272">
        <v>0</v>
      </c>
      <c r="R272">
        <v>0</v>
      </c>
    </row>
    <row r="273" spans="3:18" x14ac:dyDescent="0.2">
      <c r="C273">
        <v>0</v>
      </c>
      <c r="H273">
        <v>0</v>
      </c>
      <c r="M273">
        <v>0</v>
      </c>
      <c r="R273">
        <v>0</v>
      </c>
    </row>
    <row r="274" spans="3:18" x14ac:dyDescent="0.2">
      <c r="C274">
        <v>0</v>
      </c>
      <c r="H274">
        <v>0</v>
      </c>
      <c r="M274">
        <v>0</v>
      </c>
      <c r="R274">
        <v>0</v>
      </c>
    </row>
    <row r="275" spans="3:18" x14ac:dyDescent="0.2">
      <c r="C275">
        <v>0</v>
      </c>
      <c r="H275">
        <v>0</v>
      </c>
      <c r="M275">
        <v>0</v>
      </c>
      <c r="R275">
        <v>0</v>
      </c>
    </row>
    <row r="276" spans="3:18" x14ac:dyDescent="0.2">
      <c r="C276">
        <v>0</v>
      </c>
      <c r="H276">
        <v>0</v>
      </c>
      <c r="M276">
        <v>0</v>
      </c>
      <c r="R276">
        <v>0</v>
      </c>
    </row>
    <row r="277" spans="3:18" x14ac:dyDescent="0.2">
      <c r="C277">
        <v>0</v>
      </c>
      <c r="H277">
        <v>0</v>
      </c>
      <c r="M277">
        <v>0</v>
      </c>
      <c r="R277">
        <v>0</v>
      </c>
    </row>
    <row r="278" spans="3:18" x14ac:dyDescent="0.2">
      <c r="C278">
        <v>0</v>
      </c>
      <c r="H278">
        <v>0</v>
      </c>
      <c r="M278">
        <v>0</v>
      </c>
      <c r="R278">
        <v>0</v>
      </c>
    </row>
    <row r="279" spans="3:18" x14ac:dyDescent="0.2">
      <c r="C279">
        <v>0</v>
      </c>
      <c r="H279">
        <v>0</v>
      </c>
      <c r="M279">
        <v>0</v>
      </c>
      <c r="R279">
        <v>0</v>
      </c>
    </row>
    <row r="280" spans="3:18" x14ac:dyDescent="0.2">
      <c r="C280">
        <v>0</v>
      </c>
      <c r="H280">
        <v>0</v>
      </c>
      <c r="M280">
        <v>0</v>
      </c>
      <c r="R280">
        <v>0</v>
      </c>
    </row>
    <row r="281" spans="3:18" x14ac:dyDescent="0.2">
      <c r="C281">
        <v>0</v>
      </c>
      <c r="H281">
        <v>0</v>
      </c>
      <c r="M281">
        <v>0</v>
      </c>
      <c r="R281">
        <v>0</v>
      </c>
    </row>
    <row r="282" spans="3:18" x14ac:dyDescent="0.2">
      <c r="C282">
        <v>0</v>
      </c>
      <c r="H282">
        <v>0</v>
      </c>
      <c r="M282">
        <v>0</v>
      </c>
      <c r="R282">
        <v>0</v>
      </c>
    </row>
    <row r="283" spans="3:18" x14ac:dyDescent="0.2">
      <c r="C283">
        <v>0</v>
      </c>
      <c r="H283">
        <v>0</v>
      </c>
      <c r="M283">
        <v>0</v>
      </c>
      <c r="R283">
        <v>0</v>
      </c>
    </row>
    <row r="284" spans="3:18" x14ac:dyDescent="0.2">
      <c r="C284">
        <v>0</v>
      </c>
      <c r="H284">
        <v>0</v>
      </c>
      <c r="M284">
        <v>0</v>
      </c>
      <c r="R284">
        <v>0</v>
      </c>
    </row>
    <row r="285" spans="3:18" x14ac:dyDescent="0.2">
      <c r="C285">
        <v>0</v>
      </c>
      <c r="H285">
        <v>0</v>
      </c>
      <c r="M285">
        <v>0</v>
      </c>
      <c r="R285">
        <v>0</v>
      </c>
    </row>
    <row r="286" spans="3:18" x14ac:dyDescent="0.2">
      <c r="C286">
        <v>0</v>
      </c>
      <c r="H286">
        <v>0</v>
      </c>
      <c r="M286">
        <v>0</v>
      </c>
      <c r="R286">
        <v>0</v>
      </c>
    </row>
    <row r="287" spans="3:18" x14ac:dyDescent="0.2">
      <c r="C287">
        <v>0</v>
      </c>
      <c r="H287">
        <v>0</v>
      </c>
      <c r="M287">
        <v>0</v>
      </c>
      <c r="R287">
        <v>0</v>
      </c>
    </row>
    <row r="288" spans="3:18" x14ac:dyDescent="0.2">
      <c r="C288">
        <v>0</v>
      </c>
      <c r="H288">
        <v>0</v>
      </c>
      <c r="M288">
        <v>0</v>
      </c>
      <c r="R288">
        <v>0</v>
      </c>
    </row>
    <row r="289" spans="3:18" x14ac:dyDescent="0.2">
      <c r="C289">
        <v>0</v>
      </c>
      <c r="H289">
        <v>0</v>
      </c>
      <c r="M289">
        <v>0</v>
      </c>
      <c r="R289">
        <v>0</v>
      </c>
    </row>
    <row r="290" spans="3:18" x14ac:dyDescent="0.2">
      <c r="C290">
        <v>0</v>
      </c>
      <c r="H290">
        <v>0</v>
      </c>
      <c r="M290">
        <v>0</v>
      </c>
      <c r="R290">
        <v>0</v>
      </c>
    </row>
    <row r="291" spans="3:18" x14ac:dyDescent="0.2">
      <c r="C291">
        <v>0</v>
      </c>
      <c r="H291">
        <v>0</v>
      </c>
      <c r="M291">
        <v>0</v>
      </c>
      <c r="R291">
        <v>0</v>
      </c>
    </row>
    <row r="292" spans="3:18" x14ac:dyDescent="0.2">
      <c r="C292">
        <v>0</v>
      </c>
      <c r="H292">
        <v>0</v>
      </c>
      <c r="M292">
        <v>0</v>
      </c>
      <c r="R292">
        <v>0</v>
      </c>
    </row>
    <row r="293" spans="3:18" x14ac:dyDescent="0.2">
      <c r="C293">
        <v>0</v>
      </c>
      <c r="H293">
        <v>0</v>
      </c>
      <c r="M293">
        <v>0</v>
      </c>
      <c r="R293">
        <v>0</v>
      </c>
    </row>
    <row r="294" spans="3:18" x14ac:dyDescent="0.2">
      <c r="C294">
        <v>0</v>
      </c>
      <c r="H294">
        <v>0</v>
      </c>
      <c r="M294">
        <v>0</v>
      </c>
      <c r="R294">
        <v>0</v>
      </c>
    </row>
    <row r="295" spans="3:18" x14ac:dyDescent="0.2">
      <c r="C295">
        <v>0</v>
      </c>
      <c r="H295">
        <v>0</v>
      </c>
      <c r="M295">
        <v>0</v>
      </c>
      <c r="R295">
        <v>0</v>
      </c>
    </row>
    <row r="296" spans="3:18" x14ac:dyDescent="0.2">
      <c r="C296">
        <v>0</v>
      </c>
      <c r="H296">
        <v>0</v>
      </c>
      <c r="M296">
        <v>0</v>
      </c>
      <c r="R296">
        <v>0</v>
      </c>
    </row>
    <row r="297" spans="3:18" x14ac:dyDescent="0.2">
      <c r="C297">
        <v>0</v>
      </c>
      <c r="H297">
        <v>0</v>
      </c>
      <c r="M297">
        <v>0</v>
      </c>
      <c r="R297">
        <v>0</v>
      </c>
    </row>
    <row r="298" spans="3:18" x14ac:dyDescent="0.2">
      <c r="C298">
        <v>0</v>
      </c>
      <c r="H298">
        <v>0</v>
      </c>
      <c r="M298">
        <v>0</v>
      </c>
      <c r="R298">
        <v>0</v>
      </c>
    </row>
    <row r="299" spans="3:18" x14ac:dyDescent="0.2">
      <c r="C299">
        <v>0</v>
      </c>
      <c r="H299">
        <v>0</v>
      </c>
      <c r="M299">
        <v>0</v>
      </c>
      <c r="R299">
        <v>0</v>
      </c>
    </row>
    <row r="300" spans="3:18" x14ac:dyDescent="0.2">
      <c r="C300">
        <v>0</v>
      </c>
      <c r="H300">
        <v>1</v>
      </c>
      <c r="M300">
        <v>0</v>
      </c>
      <c r="R300">
        <v>0</v>
      </c>
    </row>
    <row r="301" spans="3:18" x14ac:dyDescent="0.2">
      <c r="C301">
        <v>0</v>
      </c>
      <c r="H301">
        <v>0</v>
      </c>
      <c r="M301">
        <v>0</v>
      </c>
      <c r="R301">
        <v>0</v>
      </c>
    </row>
    <row r="302" spans="3:18" x14ac:dyDescent="0.2">
      <c r="C302">
        <v>0</v>
      </c>
      <c r="H302">
        <v>0</v>
      </c>
      <c r="M302">
        <v>0</v>
      </c>
      <c r="R302">
        <v>1</v>
      </c>
    </row>
    <row r="303" spans="3:18" x14ac:dyDescent="0.2">
      <c r="C303">
        <v>0</v>
      </c>
      <c r="H303">
        <v>0</v>
      </c>
      <c r="M303">
        <v>1</v>
      </c>
      <c r="R303">
        <v>0</v>
      </c>
    </row>
    <row r="304" spans="3:18" x14ac:dyDescent="0.2">
      <c r="C304">
        <v>0</v>
      </c>
      <c r="H304">
        <v>0</v>
      </c>
      <c r="M304">
        <v>0</v>
      </c>
      <c r="R304">
        <v>0</v>
      </c>
    </row>
    <row r="305" spans="3:18" x14ac:dyDescent="0.2">
      <c r="C305">
        <v>0</v>
      </c>
      <c r="H305">
        <v>0</v>
      </c>
      <c r="M305">
        <v>0</v>
      </c>
      <c r="R305">
        <v>0</v>
      </c>
    </row>
    <row r="306" spans="3:18" x14ac:dyDescent="0.2">
      <c r="C306">
        <v>1</v>
      </c>
      <c r="H306">
        <v>0</v>
      </c>
      <c r="M306">
        <v>0</v>
      </c>
      <c r="R306">
        <v>0</v>
      </c>
    </row>
    <row r="307" spans="3:18" x14ac:dyDescent="0.2">
      <c r="C307">
        <v>0</v>
      </c>
      <c r="H307">
        <v>0</v>
      </c>
      <c r="M307">
        <v>0</v>
      </c>
      <c r="R307">
        <v>0</v>
      </c>
    </row>
    <row r="308" spans="3:18" x14ac:dyDescent="0.2">
      <c r="C308">
        <v>0</v>
      </c>
      <c r="H308">
        <v>0</v>
      </c>
      <c r="M308">
        <v>0</v>
      </c>
      <c r="R308">
        <v>0</v>
      </c>
    </row>
    <row r="309" spans="3:18" x14ac:dyDescent="0.2">
      <c r="C309">
        <v>0</v>
      </c>
      <c r="H309">
        <v>0</v>
      </c>
      <c r="M309">
        <v>0</v>
      </c>
      <c r="R309">
        <v>0</v>
      </c>
    </row>
    <row r="310" spans="3:18" x14ac:dyDescent="0.2">
      <c r="C310">
        <v>0</v>
      </c>
      <c r="H310">
        <v>0</v>
      </c>
      <c r="M310">
        <v>0</v>
      </c>
      <c r="R310">
        <v>0</v>
      </c>
    </row>
    <row r="311" spans="3:18" x14ac:dyDescent="0.2">
      <c r="C311">
        <v>0</v>
      </c>
      <c r="H311">
        <v>0</v>
      </c>
      <c r="M311">
        <v>0</v>
      </c>
      <c r="R311">
        <v>0</v>
      </c>
    </row>
    <row r="312" spans="3:18" x14ac:dyDescent="0.2">
      <c r="C312">
        <v>0</v>
      </c>
      <c r="H312">
        <v>0</v>
      </c>
      <c r="M312">
        <v>0</v>
      </c>
      <c r="R312">
        <v>0</v>
      </c>
    </row>
    <row r="313" spans="3:18" x14ac:dyDescent="0.2">
      <c r="C313">
        <v>0</v>
      </c>
      <c r="H313">
        <v>0</v>
      </c>
      <c r="M313">
        <v>0</v>
      </c>
      <c r="R313">
        <v>0</v>
      </c>
    </row>
    <row r="314" spans="3:18" x14ac:dyDescent="0.2">
      <c r="C314">
        <v>0</v>
      </c>
      <c r="H314">
        <v>0</v>
      </c>
      <c r="M314">
        <v>0</v>
      </c>
      <c r="R314">
        <v>0</v>
      </c>
    </row>
    <row r="315" spans="3:18" x14ac:dyDescent="0.2">
      <c r="C315">
        <v>0</v>
      </c>
      <c r="H315">
        <v>0</v>
      </c>
      <c r="M315">
        <v>0</v>
      </c>
      <c r="R315">
        <v>0</v>
      </c>
    </row>
    <row r="316" spans="3:18" x14ac:dyDescent="0.2">
      <c r="C316">
        <v>0</v>
      </c>
      <c r="H316">
        <v>0</v>
      </c>
      <c r="M316">
        <v>0</v>
      </c>
      <c r="R316">
        <v>0</v>
      </c>
    </row>
    <row r="317" spans="3:18" x14ac:dyDescent="0.2">
      <c r="C317">
        <v>0</v>
      </c>
      <c r="H317">
        <v>0</v>
      </c>
      <c r="M317">
        <v>0</v>
      </c>
      <c r="R317">
        <v>0</v>
      </c>
    </row>
    <row r="318" spans="3:18" x14ac:dyDescent="0.2">
      <c r="C318">
        <v>0</v>
      </c>
      <c r="H318">
        <v>0</v>
      </c>
      <c r="M318">
        <v>0</v>
      </c>
      <c r="R318">
        <v>0</v>
      </c>
    </row>
    <row r="319" spans="3:18" x14ac:dyDescent="0.2">
      <c r="C319">
        <v>0</v>
      </c>
      <c r="H319">
        <v>0</v>
      </c>
      <c r="M319">
        <v>0</v>
      </c>
      <c r="R319">
        <v>0</v>
      </c>
    </row>
    <row r="320" spans="3:18" x14ac:dyDescent="0.2">
      <c r="C320">
        <v>0</v>
      </c>
      <c r="H320">
        <v>0</v>
      </c>
      <c r="M320">
        <v>0</v>
      </c>
      <c r="R320">
        <v>0</v>
      </c>
    </row>
    <row r="321" spans="3:18" x14ac:dyDescent="0.2">
      <c r="C321">
        <v>0</v>
      </c>
      <c r="H321">
        <v>0</v>
      </c>
      <c r="M321">
        <v>0</v>
      </c>
      <c r="R321">
        <v>0</v>
      </c>
    </row>
    <row r="322" spans="3:18" x14ac:dyDescent="0.2">
      <c r="C322">
        <v>0</v>
      </c>
      <c r="H322">
        <v>0</v>
      </c>
      <c r="M322">
        <v>0</v>
      </c>
      <c r="R322">
        <v>0</v>
      </c>
    </row>
    <row r="323" spans="3:18" x14ac:dyDescent="0.2">
      <c r="C323">
        <v>0</v>
      </c>
      <c r="H323">
        <v>0</v>
      </c>
      <c r="M323">
        <v>0</v>
      </c>
      <c r="R323">
        <v>0</v>
      </c>
    </row>
    <row r="324" spans="3:18" x14ac:dyDescent="0.2">
      <c r="C324">
        <v>0</v>
      </c>
      <c r="H324">
        <v>0</v>
      </c>
      <c r="M324">
        <v>0</v>
      </c>
      <c r="R324">
        <v>0</v>
      </c>
    </row>
    <row r="325" spans="3:18" x14ac:dyDescent="0.2">
      <c r="C325">
        <v>0</v>
      </c>
      <c r="H325">
        <v>0</v>
      </c>
      <c r="M325">
        <v>0</v>
      </c>
      <c r="R325">
        <v>0</v>
      </c>
    </row>
    <row r="326" spans="3:18" x14ac:dyDescent="0.2">
      <c r="C326">
        <v>0</v>
      </c>
      <c r="H326">
        <v>0</v>
      </c>
      <c r="M326">
        <v>0</v>
      </c>
      <c r="R326">
        <v>0</v>
      </c>
    </row>
    <row r="327" spans="3:18" x14ac:dyDescent="0.2">
      <c r="C327">
        <v>0</v>
      </c>
      <c r="H327">
        <v>0</v>
      </c>
      <c r="M327">
        <v>0</v>
      </c>
      <c r="R327">
        <v>0</v>
      </c>
    </row>
    <row r="328" spans="3:18" x14ac:dyDescent="0.2">
      <c r="C328">
        <v>0</v>
      </c>
      <c r="H328">
        <v>0</v>
      </c>
      <c r="M328">
        <v>0</v>
      </c>
      <c r="R328">
        <v>0</v>
      </c>
    </row>
    <row r="329" spans="3:18" x14ac:dyDescent="0.2">
      <c r="C329">
        <v>0</v>
      </c>
      <c r="H329">
        <v>0</v>
      </c>
      <c r="M329">
        <v>0</v>
      </c>
      <c r="R329">
        <v>0</v>
      </c>
    </row>
    <row r="330" spans="3:18" x14ac:dyDescent="0.2">
      <c r="C330">
        <v>0</v>
      </c>
      <c r="H330">
        <v>0</v>
      </c>
      <c r="M330">
        <v>0</v>
      </c>
      <c r="R330">
        <v>0</v>
      </c>
    </row>
    <row r="331" spans="3:18" x14ac:dyDescent="0.2">
      <c r="C331">
        <v>0</v>
      </c>
      <c r="H331">
        <v>1</v>
      </c>
      <c r="M331">
        <v>0</v>
      </c>
      <c r="R331">
        <v>0</v>
      </c>
    </row>
    <row r="332" spans="3:18" x14ac:dyDescent="0.2">
      <c r="C332">
        <v>0</v>
      </c>
      <c r="H332">
        <v>0</v>
      </c>
      <c r="M332">
        <v>0</v>
      </c>
      <c r="R332">
        <v>0</v>
      </c>
    </row>
    <row r="333" spans="3:18" x14ac:dyDescent="0.2">
      <c r="C333">
        <v>0</v>
      </c>
      <c r="H333">
        <v>0</v>
      </c>
      <c r="M333">
        <v>0</v>
      </c>
      <c r="R333">
        <v>0</v>
      </c>
    </row>
    <row r="334" spans="3:18" x14ac:dyDescent="0.2">
      <c r="C334">
        <v>0</v>
      </c>
      <c r="H334">
        <v>0</v>
      </c>
      <c r="M334">
        <v>0</v>
      </c>
      <c r="R334">
        <v>0</v>
      </c>
    </row>
    <row r="335" spans="3:18" x14ac:dyDescent="0.2">
      <c r="C335">
        <v>0</v>
      </c>
      <c r="H335">
        <v>0</v>
      </c>
      <c r="M335">
        <v>0</v>
      </c>
      <c r="R335">
        <v>0</v>
      </c>
    </row>
    <row r="336" spans="3:18" x14ac:dyDescent="0.2">
      <c r="C336">
        <v>0</v>
      </c>
      <c r="H336">
        <v>0</v>
      </c>
      <c r="M336">
        <v>1</v>
      </c>
      <c r="R336">
        <v>1</v>
      </c>
    </row>
    <row r="337" spans="3:18" x14ac:dyDescent="0.2">
      <c r="C337">
        <v>0</v>
      </c>
      <c r="H337">
        <v>0</v>
      </c>
      <c r="M337">
        <v>0</v>
      </c>
      <c r="R337">
        <v>0</v>
      </c>
    </row>
    <row r="338" spans="3:18" x14ac:dyDescent="0.2">
      <c r="C338">
        <v>0</v>
      </c>
      <c r="H338">
        <v>0</v>
      </c>
      <c r="M338">
        <v>0</v>
      </c>
      <c r="R338">
        <v>0</v>
      </c>
    </row>
    <row r="339" spans="3:18" x14ac:dyDescent="0.2">
      <c r="C339">
        <v>1</v>
      </c>
      <c r="H339">
        <v>0</v>
      </c>
      <c r="M339">
        <v>0</v>
      </c>
      <c r="R339">
        <v>0</v>
      </c>
    </row>
    <row r="340" spans="3:18" x14ac:dyDescent="0.2">
      <c r="C340">
        <v>0</v>
      </c>
      <c r="H340">
        <v>0</v>
      </c>
      <c r="M340">
        <v>0</v>
      </c>
      <c r="R340">
        <v>0</v>
      </c>
    </row>
    <row r="341" spans="3:18" x14ac:dyDescent="0.2">
      <c r="C341">
        <v>0</v>
      </c>
      <c r="H341">
        <v>0</v>
      </c>
      <c r="M341">
        <v>0</v>
      </c>
      <c r="R341">
        <v>0</v>
      </c>
    </row>
    <row r="342" spans="3:18" x14ac:dyDescent="0.2">
      <c r="C342">
        <v>0</v>
      </c>
      <c r="H342">
        <v>0</v>
      </c>
      <c r="M342">
        <v>0</v>
      </c>
      <c r="R342">
        <v>0</v>
      </c>
    </row>
    <row r="343" spans="3:18" x14ac:dyDescent="0.2">
      <c r="C343">
        <v>0</v>
      </c>
      <c r="H343">
        <v>0</v>
      </c>
      <c r="M343">
        <v>0</v>
      </c>
      <c r="R343">
        <v>0</v>
      </c>
    </row>
    <row r="344" spans="3:18" x14ac:dyDescent="0.2">
      <c r="C344">
        <v>0</v>
      </c>
      <c r="H344">
        <v>0</v>
      </c>
      <c r="M344">
        <v>0</v>
      </c>
      <c r="R344">
        <v>0</v>
      </c>
    </row>
    <row r="345" spans="3:18" x14ac:dyDescent="0.2">
      <c r="C345">
        <v>0</v>
      </c>
      <c r="H345">
        <v>0</v>
      </c>
      <c r="M345">
        <v>0</v>
      </c>
      <c r="R345">
        <v>0</v>
      </c>
    </row>
    <row r="346" spans="3:18" x14ac:dyDescent="0.2">
      <c r="C346">
        <v>0</v>
      </c>
      <c r="H346">
        <v>0</v>
      </c>
      <c r="M346">
        <v>0</v>
      </c>
      <c r="R346">
        <v>0</v>
      </c>
    </row>
    <row r="347" spans="3:18" x14ac:dyDescent="0.2">
      <c r="C347">
        <v>0</v>
      </c>
      <c r="H347">
        <v>0</v>
      </c>
      <c r="M347">
        <v>0</v>
      </c>
      <c r="R347">
        <v>0</v>
      </c>
    </row>
    <row r="348" spans="3:18" x14ac:dyDescent="0.2">
      <c r="C348">
        <v>0</v>
      </c>
      <c r="H348">
        <v>0</v>
      </c>
      <c r="M348">
        <v>0</v>
      </c>
      <c r="R348">
        <v>0</v>
      </c>
    </row>
    <row r="349" spans="3:18" x14ac:dyDescent="0.2">
      <c r="C349">
        <v>0</v>
      </c>
      <c r="H349">
        <v>0</v>
      </c>
      <c r="M349">
        <v>0</v>
      </c>
      <c r="R349">
        <v>0</v>
      </c>
    </row>
    <row r="350" spans="3:18" x14ac:dyDescent="0.2">
      <c r="C350">
        <v>0</v>
      </c>
      <c r="H350">
        <v>0</v>
      </c>
      <c r="M350">
        <v>0</v>
      </c>
      <c r="R350">
        <v>0</v>
      </c>
    </row>
    <row r="351" spans="3:18" x14ac:dyDescent="0.2">
      <c r="C351">
        <v>0</v>
      </c>
      <c r="H351">
        <v>0</v>
      </c>
      <c r="M351">
        <v>0</v>
      </c>
      <c r="R351">
        <v>0</v>
      </c>
    </row>
    <row r="352" spans="3:18" x14ac:dyDescent="0.2">
      <c r="C352">
        <v>0</v>
      </c>
      <c r="H352">
        <v>0</v>
      </c>
      <c r="M352">
        <v>0</v>
      </c>
      <c r="R352">
        <v>0</v>
      </c>
    </row>
    <row r="353" spans="3:18" x14ac:dyDescent="0.2">
      <c r="C353">
        <v>0</v>
      </c>
      <c r="H353">
        <v>0</v>
      </c>
      <c r="M353">
        <v>0</v>
      </c>
      <c r="R353">
        <v>0</v>
      </c>
    </row>
    <row r="354" spans="3:18" x14ac:dyDescent="0.2">
      <c r="C354">
        <v>0</v>
      </c>
      <c r="H354">
        <v>0</v>
      </c>
      <c r="M354">
        <v>0</v>
      </c>
      <c r="R354">
        <v>0</v>
      </c>
    </row>
    <row r="355" spans="3:18" x14ac:dyDescent="0.2">
      <c r="C355">
        <v>0</v>
      </c>
      <c r="H355">
        <v>0</v>
      </c>
      <c r="M355">
        <v>0</v>
      </c>
      <c r="R355">
        <v>0</v>
      </c>
    </row>
    <row r="356" spans="3:18" x14ac:dyDescent="0.2">
      <c r="C356">
        <v>0</v>
      </c>
      <c r="H356">
        <v>0</v>
      </c>
      <c r="M356">
        <v>0</v>
      </c>
      <c r="R356">
        <v>0</v>
      </c>
    </row>
    <row r="357" spans="3:18" x14ac:dyDescent="0.2">
      <c r="C357">
        <v>0</v>
      </c>
      <c r="H357">
        <v>0</v>
      </c>
      <c r="M357">
        <v>0</v>
      </c>
      <c r="R357">
        <v>0</v>
      </c>
    </row>
    <row r="358" spans="3:18" x14ac:dyDescent="0.2">
      <c r="C358">
        <v>0</v>
      </c>
      <c r="H358">
        <v>0</v>
      </c>
      <c r="M358">
        <v>0</v>
      </c>
      <c r="R358">
        <v>0</v>
      </c>
    </row>
    <row r="359" spans="3:18" x14ac:dyDescent="0.2">
      <c r="C359">
        <v>0</v>
      </c>
      <c r="H359">
        <v>0</v>
      </c>
      <c r="M359">
        <v>0</v>
      </c>
      <c r="R359">
        <v>0</v>
      </c>
    </row>
    <row r="360" spans="3:18" x14ac:dyDescent="0.2">
      <c r="C360">
        <v>0</v>
      </c>
      <c r="H360">
        <v>0</v>
      </c>
      <c r="M360">
        <v>0</v>
      </c>
      <c r="R360">
        <v>0</v>
      </c>
    </row>
    <row r="361" spans="3:18" x14ac:dyDescent="0.2">
      <c r="C361">
        <v>0</v>
      </c>
      <c r="H361">
        <v>0</v>
      </c>
      <c r="M361">
        <v>0</v>
      </c>
      <c r="R361">
        <v>0</v>
      </c>
    </row>
    <row r="362" spans="3:18" x14ac:dyDescent="0.2">
      <c r="C362">
        <v>0</v>
      </c>
      <c r="H362">
        <v>0</v>
      </c>
      <c r="M362">
        <v>0</v>
      </c>
      <c r="R362">
        <v>0</v>
      </c>
    </row>
    <row r="363" spans="3:18" x14ac:dyDescent="0.2">
      <c r="C363">
        <v>0</v>
      </c>
      <c r="H363">
        <v>0</v>
      </c>
      <c r="M363">
        <v>0</v>
      </c>
      <c r="R363">
        <v>0</v>
      </c>
    </row>
    <row r="364" spans="3:18" x14ac:dyDescent="0.2">
      <c r="C364">
        <v>0</v>
      </c>
      <c r="H364">
        <v>0</v>
      </c>
      <c r="M364">
        <v>0</v>
      </c>
      <c r="R364">
        <v>0</v>
      </c>
    </row>
    <row r="365" spans="3:18" x14ac:dyDescent="0.2">
      <c r="C365">
        <v>0</v>
      </c>
      <c r="H365">
        <v>1</v>
      </c>
      <c r="M365">
        <v>0</v>
      </c>
      <c r="R365">
        <v>0</v>
      </c>
    </row>
    <row r="366" spans="3:18" x14ac:dyDescent="0.2">
      <c r="C366">
        <v>0</v>
      </c>
      <c r="H366">
        <v>0</v>
      </c>
      <c r="M366">
        <v>0</v>
      </c>
      <c r="R366">
        <v>0</v>
      </c>
    </row>
    <row r="367" spans="3:18" x14ac:dyDescent="0.2">
      <c r="C367">
        <v>0</v>
      </c>
      <c r="H367">
        <v>0</v>
      </c>
      <c r="M367">
        <v>0</v>
      </c>
      <c r="R367">
        <v>0</v>
      </c>
    </row>
    <row r="368" spans="3:18" x14ac:dyDescent="0.2">
      <c r="C368">
        <v>0</v>
      </c>
      <c r="H368">
        <v>0</v>
      </c>
      <c r="M368">
        <v>0</v>
      </c>
      <c r="R368">
        <v>0</v>
      </c>
    </row>
    <row r="369" spans="3:18" x14ac:dyDescent="0.2">
      <c r="C369">
        <v>0</v>
      </c>
      <c r="H369">
        <v>0</v>
      </c>
      <c r="M369">
        <v>0</v>
      </c>
      <c r="R369">
        <v>1</v>
      </c>
    </row>
    <row r="370" spans="3:18" x14ac:dyDescent="0.2">
      <c r="C370">
        <v>0</v>
      </c>
      <c r="H370">
        <v>0</v>
      </c>
      <c r="M370">
        <v>1</v>
      </c>
      <c r="R370">
        <v>0</v>
      </c>
    </row>
    <row r="371" spans="3:18" x14ac:dyDescent="0.2">
      <c r="C371">
        <v>0</v>
      </c>
      <c r="H371">
        <v>0</v>
      </c>
      <c r="M371">
        <v>0</v>
      </c>
      <c r="R371">
        <v>0</v>
      </c>
    </row>
    <row r="372" spans="3:18" x14ac:dyDescent="0.2">
      <c r="C372">
        <v>0</v>
      </c>
      <c r="H372">
        <v>0</v>
      </c>
      <c r="M372">
        <v>0</v>
      </c>
      <c r="R372">
        <v>0</v>
      </c>
    </row>
    <row r="373" spans="3:18" x14ac:dyDescent="0.2">
      <c r="C373">
        <v>0</v>
      </c>
      <c r="H373">
        <v>0</v>
      </c>
      <c r="M373">
        <v>0</v>
      </c>
      <c r="R373">
        <v>0</v>
      </c>
    </row>
    <row r="374" spans="3:18" x14ac:dyDescent="0.2">
      <c r="C374">
        <v>0</v>
      </c>
      <c r="H374">
        <v>0</v>
      </c>
      <c r="M374">
        <v>0</v>
      </c>
      <c r="R374">
        <v>0</v>
      </c>
    </row>
    <row r="375" spans="3:18" x14ac:dyDescent="0.2">
      <c r="C375">
        <v>0</v>
      </c>
      <c r="H375">
        <v>0</v>
      </c>
      <c r="M375">
        <v>0</v>
      </c>
      <c r="R375">
        <v>0</v>
      </c>
    </row>
    <row r="376" spans="3:18" x14ac:dyDescent="0.2">
      <c r="C376">
        <v>1</v>
      </c>
      <c r="H376">
        <v>0</v>
      </c>
      <c r="M376">
        <v>0</v>
      </c>
      <c r="R376">
        <v>0</v>
      </c>
    </row>
    <row r="377" spans="3:18" x14ac:dyDescent="0.2">
      <c r="C377">
        <v>0</v>
      </c>
      <c r="H377">
        <v>0</v>
      </c>
      <c r="M377">
        <v>0</v>
      </c>
      <c r="R377">
        <v>0</v>
      </c>
    </row>
    <row r="378" spans="3:18" x14ac:dyDescent="0.2">
      <c r="C378">
        <v>0</v>
      </c>
      <c r="H378">
        <v>0</v>
      </c>
      <c r="M378">
        <v>0</v>
      </c>
      <c r="R378">
        <v>0</v>
      </c>
    </row>
    <row r="379" spans="3:18" x14ac:dyDescent="0.2">
      <c r="C379">
        <v>0</v>
      </c>
      <c r="H379">
        <v>0</v>
      </c>
      <c r="M379">
        <v>0</v>
      </c>
      <c r="R379">
        <v>0</v>
      </c>
    </row>
    <row r="380" spans="3:18" x14ac:dyDescent="0.2">
      <c r="C380">
        <v>0</v>
      </c>
      <c r="H380">
        <v>0</v>
      </c>
      <c r="M380">
        <v>0</v>
      </c>
      <c r="R380">
        <v>0</v>
      </c>
    </row>
    <row r="381" spans="3:18" x14ac:dyDescent="0.2">
      <c r="C381">
        <v>0</v>
      </c>
      <c r="H381">
        <v>0</v>
      </c>
      <c r="M381">
        <v>0</v>
      </c>
      <c r="R381">
        <v>0</v>
      </c>
    </row>
    <row r="382" spans="3:18" x14ac:dyDescent="0.2">
      <c r="C382">
        <v>0</v>
      </c>
      <c r="H382">
        <v>0</v>
      </c>
      <c r="M382">
        <v>0</v>
      </c>
      <c r="R382">
        <v>0</v>
      </c>
    </row>
    <row r="383" spans="3:18" x14ac:dyDescent="0.2">
      <c r="C383">
        <v>0</v>
      </c>
      <c r="H383">
        <v>0</v>
      </c>
      <c r="M383">
        <v>0</v>
      </c>
      <c r="R383">
        <v>0</v>
      </c>
    </row>
    <row r="384" spans="3:18" x14ac:dyDescent="0.2">
      <c r="C384">
        <v>0</v>
      </c>
      <c r="H384">
        <v>0</v>
      </c>
      <c r="M384">
        <v>0</v>
      </c>
      <c r="R384">
        <v>0</v>
      </c>
    </row>
    <row r="385" spans="3:18" x14ac:dyDescent="0.2">
      <c r="C385">
        <v>0</v>
      </c>
      <c r="H385">
        <v>0</v>
      </c>
      <c r="M385">
        <v>0</v>
      </c>
      <c r="R385">
        <v>0</v>
      </c>
    </row>
    <row r="386" spans="3:18" x14ac:dyDescent="0.2">
      <c r="C386">
        <v>0</v>
      </c>
      <c r="H386">
        <v>0</v>
      </c>
      <c r="M386">
        <v>0</v>
      </c>
      <c r="R386">
        <v>0</v>
      </c>
    </row>
    <row r="387" spans="3:18" x14ac:dyDescent="0.2">
      <c r="C387">
        <v>0</v>
      </c>
      <c r="H387">
        <v>0</v>
      </c>
      <c r="M387">
        <v>0</v>
      </c>
      <c r="R387">
        <v>0</v>
      </c>
    </row>
    <row r="388" spans="3:18" x14ac:dyDescent="0.2">
      <c r="C388">
        <v>0</v>
      </c>
      <c r="H388">
        <v>0</v>
      </c>
      <c r="M388">
        <v>0</v>
      </c>
      <c r="R388">
        <v>0</v>
      </c>
    </row>
    <row r="389" spans="3:18" x14ac:dyDescent="0.2">
      <c r="C389">
        <v>0</v>
      </c>
      <c r="H389">
        <v>0</v>
      </c>
      <c r="M389">
        <v>0</v>
      </c>
      <c r="R389">
        <v>0</v>
      </c>
    </row>
    <row r="390" spans="3:18" x14ac:dyDescent="0.2">
      <c r="C390">
        <v>0</v>
      </c>
      <c r="H390">
        <v>0</v>
      </c>
      <c r="M390">
        <v>0</v>
      </c>
      <c r="R390">
        <v>0</v>
      </c>
    </row>
    <row r="391" spans="3:18" x14ac:dyDescent="0.2">
      <c r="C391">
        <v>0</v>
      </c>
      <c r="H391">
        <v>0</v>
      </c>
      <c r="M391">
        <v>0</v>
      </c>
      <c r="R391">
        <v>0</v>
      </c>
    </row>
    <row r="392" spans="3:18" x14ac:dyDescent="0.2">
      <c r="C392">
        <v>0</v>
      </c>
      <c r="H392">
        <v>0</v>
      </c>
      <c r="M392">
        <v>0</v>
      </c>
      <c r="R392">
        <v>0</v>
      </c>
    </row>
    <row r="393" spans="3:18" x14ac:dyDescent="0.2">
      <c r="C393">
        <v>0</v>
      </c>
      <c r="H393">
        <v>0</v>
      </c>
      <c r="M393">
        <v>0</v>
      </c>
      <c r="R393">
        <v>0</v>
      </c>
    </row>
    <row r="394" spans="3:18" x14ac:dyDescent="0.2">
      <c r="C394">
        <v>0</v>
      </c>
      <c r="H394">
        <v>0</v>
      </c>
      <c r="M394">
        <v>0</v>
      </c>
      <c r="R394">
        <v>0</v>
      </c>
    </row>
    <row r="395" spans="3:18" x14ac:dyDescent="0.2">
      <c r="C395">
        <v>0</v>
      </c>
      <c r="H395">
        <v>0</v>
      </c>
      <c r="M395">
        <v>0</v>
      </c>
      <c r="R395">
        <v>0</v>
      </c>
    </row>
    <row r="396" spans="3:18" x14ac:dyDescent="0.2">
      <c r="C396">
        <v>0</v>
      </c>
      <c r="H396">
        <v>0</v>
      </c>
      <c r="M396">
        <v>0</v>
      </c>
      <c r="R396">
        <v>0</v>
      </c>
    </row>
    <row r="397" spans="3:18" x14ac:dyDescent="0.2">
      <c r="C397">
        <v>0</v>
      </c>
      <c r="H397">
        <v>0</v>
      </c>
      <c r="M397">
        <v>0</v>
      </c>
      <c r="R397">
        <v>0</v>
      </c>
    </row>
    <row r="398" spans="3:18" x14ac:dyDescent="0.2">
      <c r="C398">
        <v>0</v>
      </c>
      <c r="H398">
        <v>1</v>
      </c>
      <c r="M398">
        <v>0</v>
      </c>
      <c r="R398">
        <v>0</v>
      </c>
    </row>
    <row r="399" spans="3:18" x14ac:dyDescent="0.2">
      <c r="C399">
        <v>0</v>
      </c>
      <c r="H399">
        <v>0</v>
      </c>
      <c r="M399">
        <v>0</v>
      </c>
      <c r="R399">
        <v>0</v>
      </c>
    </row>
    <row r="400" spans="3:18" x14ac:dyDescent="0.2">
      <c r="C400">
        <v>0</v>
      </c>
      <c r="H400">
        <v>0</v>
      </c>
      <c r="M400">
        <v>0</v>
      </c>
      <c r="R400">
        <v>0</v>
      </c>
    </row>
    <row r="401" spans="3:18" x14ac:dyDescent="0.2">
      <c r="C401">
        <v>0</v>
      </c>
      <c r="H401">
        <v>0</v>
      </c>
      <c r="M401">
        <v>0</v>
      </c>
      <c r="R401">
        <v>0</v>
      </c>
    </row>
    <row r="402" spans="3:18" x14ac:dyDescent="0.2">
      <c r="C402">
        <v>0</v>
      </c>
      <c r="H402">
        <v>0</v>
      </c>
      <c r="M402">
        <v>0</v>
      </c>
      <c r="R402">
        <v>0</v>
      </c>
    </row>
    <row r="403" spans="3:18" x14ac:dyDescent="0.2">
      <c r="C403">
        <v>0</v>
      </c>
      <c r="H403">
        <v>0</v>
      </c>
      <c r="M403">
        <v>1</v>
      </c>
      <c r="R403">
        <v>1</v>
      </c>
    </row>
    <row r="404" spans="3:18" x14ac:dyDescent="0.2">
      <c r="C404">
        <v>0</v>
      </c>
      <c r="H404">
        <v>0</v>
      </c>
      <c r="M404">
        <v>0</v>
      </c>
      <c r="R404">
        <v>0</v>
      </c>
    </row>
    <row r="405" spans="3:18" x14ac:dyDescent="0.2">
      <c r="C405">
        <v>0</v>
      </c>
      <c r="H405">
        <v>0</v>
      </c>
      <c r="M405">
        <v>0</v>
      </c>
      <c r="R405">
        <v>0</v>
      </c>
    </row>
    <row r="406" spans="3:18" x14ac:dyDescent="0.2">
      <c r="C406">
        <v>0</v>
      </c>
      <c r="H406">
        <v>0</v>
      </c>
      <c r="M406">
        <v>0</v>
      </c>
      <c r="R406">
        <v>0</v>
      </c>
    </row>
    <row r="407" spans="3:18" x14ac:dyDescent="0.2">
      <c r="C407">
        <v>0</v>
      </c>
      <c r="H407">
        <v>0</v>
      </c>
      <c r="M407">
        <v>0</v>
      </c>
      <c r="R407">
        <v>0</v>
      </c>
    </row>
    <row r="408" spans="3:18" x14ac:dyDescent="0.2">
      <c r="C408">
        <v>0</v>
      </c>
      <c r="H408">
        <v>0</v>
      </c>
      <c r="M408">
        <v>0</v>
      </c>
      <c r="R408">
        <v>0</v>
      </c>
    </row>
    <row r="409" spans="3:18" x14ac:dyDescent="0.2">
      <c r="C409">
        <v>0</v>
      </c>
      <c r="H409">
        <v>0</v>
      </c>
      <c r="M409">
        <v>0</v>
      </c>
      <c r="R409">
        <v>0</v>
      </c>
    </row>
    <row r="410" spans="3:18" x14ac:dyDescent="0.2">
      <c r="C410">
        <v>0</v>
      </c>
      <c r="H410">
        <v>0</v>
      </c>
      <c r="M410">
        <v>0</v>
      </c>
      <c r="R410">
        <v>0</v>
      </c>
    </row>
    <row r="411" spans="3:18" x14ac:dyDescent="0.2">
      <c r="C411">
        <v>0</v>
      </c>
      <c r="H411">
        <v>0</v>
      </c>
      <c r="M411">
        <v>0</v>
      </c>
      <c r="R411">
        <v>0</v>
      </c>
    </row>
    <row r="412" spans="3:18" x14ac:dyDescent="0.2">
      <c r="C412">
        <v>0</v>
      </c>
      <c r="H412">
        <v>0</v>
      </c>
      <c r="M412">
        <v>0</v>
      </c>
      <c r="R412">
        <v>0</v>
      </c>
    </row>
    <row r="413" spans="3:18" x14ac:dyDescent="0.2">
      <c r="C413">
        <v>1</v>
      </c>
      <c r="H413">
        <v>0</v>
      </c>
      <c r="M413">
        <v>0</v>
      </c>
      <c r="R413">
        <v>0</v>
      </c>
    </row>
    <row r="414" spans="3:18" x14ac:dyDescent="0.2">
      <c r="C414">
        <v>0</v>
      </c>
      <c r="H414">
        <v>0</v>
      </c>
      <c r="M414">
        <v>0</v>
      </c>
      <c r="R414">
        <v>0</v>
      </c>
    </row>
    <row r="415" spans="3:18" x14ac:dyDescent="0.2">
      <c r="C415">
        <v>0</v>
      </c>
      <c r="H415">
        <v>0</v>
      </c>
      <c r="M415">
        <v>0</v>
      </c>
      <c r="R415">
        <v>0</v>
      </c>
    </row>
    <row r="416" spans="3:18" x14ac:dyDescent="0.2">
      <c r="C416">
        <v>0</v>
      </c>
      <c r="H416">
        <v>0</v>
      </c>
      <c r="M416">
        <v>0</v>
      </c>
      <c r="R416">
        <v>0</v>
      </c>
    </row>
    <row r="417" spans="3:18" x14ac:dyDescent="0.2">
      <c r="C417">
        <v>0</v>
      </c>
      <c r="H417">
        <v>0</v>
      </c>
      <c r="M417">
        <v>0</v>
      </c>
      <c r="R417">
        <v>0</v>
      </c>
    </row>
    <row r="418" spans="3:18" x14ac:dyDescent="0.2">
      <c r="C418">
        <v>0</v>
      </c>
      <c r="H418">
        <v>0</v>
      </c>
      <c r="M418">
        <v>0</v>
      </c>
      <c r="R418">
        <v>0</v>
      </c>
    </row>
    <row r="419" spans="3:18" x14ac:dyDescent="0.2">
      <c r="C419">
        <v>0</v>
      </c>
      <c r="H419">
        <v>0</v>
      </c>
      <c r="M419">
        <v>0</v>
      </c>
      <c r="R419">
        <v>0</v>
      </c>
    </row>
    <row r="420" spans="3:18" x14ac:dyDescent="0.2">
      <c r="C420">
        <v>0</v>
      </c>
      <c r="H420">
        <v>0</v>
      </c>
      <c r="M420">
        <v>0</v>
      </c>
      <c r="R420">
        <v>0</v>
      </c>
    </row>
    <row r="421" spans="3:18" x14ac:dyDescent="0.2">
      <c r="C421">
        <v>0</v>
      </c>
      <c r="H421">
        <v>0</v>
      </c>
      <c r="M421">
        <v>0</v>
      </c>
      <c r="R421">
        <v>0</v>
      </c>
    </row>
    <row r="422" spans="3:18" x14ac:dyDescent="0.2">
      <c r="C422">
        <v>0</v>
      </c>
      <c r="H422">
        <v>0</v>
      </c>
      <c r="M422">
        <v>0</v>
      </c>
      <c r="R422">
        <v>0</v>
      </c>
    </row>
    <row r="423" spans="3:18" x14ac:dyDescent="0.2">
      <c r="C423">
        <v>0</v>
      </c>
      <c r="H423">
        <v>0</v>
      </c>
      <c r="M423">
        <v>0</v>
      </c>
      <c r="R423">
        <v>0</v>
      </c>
    </row>
    <row r="424" spans="3:18" x14ac:dyDescent="0.2">
      <c r="C424">
        <v>0</v>
      </c>
      <c r="H424">
        <v>0</v>
      </c>
      <c r="M424">
        <v>0</v>
      </c>
      <c r="R424">
        <v>0</v>
      </c>
    </row>
    <row r="425" spans="3:18" x14ac:dyDescent="0.2">
      <c r="C425">
        <v>0</v>
      </c>
      <c r="H425">
        <v>0</v>
      </c>
      <c r="M425">
        <v>0</v>
      </c>
      <c r="R425">
        <v>0</v>
      </c>
    </row>
    <row r="426" spans="3:18" x14ac:dyDescent="0.2">
      <c r="H426">
        <v>0</v>
      </c>
      <c r="M426">
        <v>0</v>
      </c>
    </row>
    <row r="427" spans="3:18" x14ac:dyDescent="0.2">
      <c r="H427">
        <v>0</v>
      </c>
      <c r="M427">
        <v>0</v>
      </c>
    </row>
    <row r="428" spans="3:18" x14ac:dyDescent="0.2">
      <c r="H428">
        <v>0</v>
      </c>
      <c r="M428">
        <v>0</v>
      </c>
    </row>
    <row r="429" spans="3:18" x14ac:dyDescent="0.2">
      <c r="H429">
        <v>0</v>
      </c>
      <c r="M429">
        <v>0</v>
      </c>
    </row>
    <row r="430" spans="3:18" x14ac:dyDescent="0.2">
      <c r="H430">
        <v>0</v>
      </c>
      <c r="M430">
        <v>0</v>
      </c>
    </row>
    <row r="431" spans="3:18" x14ac:dyDescent="0.2">
      <c r="H431">
        <v>0</v>
      </c>
      <c r="M431">
        <v>0</v>
      </c>
    </row>
    <row r="432" spans="3:18" x14ac:dyDescent="0.2">
      <c r="H432">
        <v>1</v>
      </c>
      <c r="M432">
        <v>0</v>
      </c>
    </row>
    <row r="433" spans="8:13" x14ac:dyDescent="0.2">
      <c r="H433">
        <v>0</v>
      </c>
      <c r="M433">
        <v>0</v>
      </c>
    </row>
    <row r="434" spans="8:13" x14ac:dyDescent="0.2">
      <c r="H434">
        <v>0</v>
      </c>
      <c r="M434">
        <v>0</v>
      </c>
    </row>
    <row r="435" spans="8:13" x14ac:dyDescent="0.2">
      <c r="H435">
        <v>0</v>
      </c>
      <c r="M435">
        <v>0</v>
      </c>
    </row>
    <row r="436" spans="8:13" x14ac:dyDescent="0.2">
      <c r="H436">
        <v>0</v>
      </c>
      <c r="M436">
        <v>1</v>
      </c>
    </row>
    <row r="437" spans="8:13" x14ac:dyDescent="0.2">
      <c r="H437">
        <v>0</v>
      </c>
      <c r="M437">
        <v>0</v>
      </c>
    </row>
    <row r="438" spans="8:13" x14ac:dyDescent="0.2">
      <c r="H438">
        <v>0</v>
      </c>
      <c r="M438">
        <v>0</v>
      </c>
    </row>
    <row r="439" spans="8:13" x14ac:dyDescent="0.2">
      <c r="H439">
        <v>0</v>
      </c>
      <c r="M439">
        <v>0</v>
      </c>
    </row>
    <row r="440" spans="8:13" x14ac:dyDescent="0.2">
      <c r="H440">
        <v>0</v>
      </c>
      <c r="M440">
        <v>0</v>
      </c>
    </row>
    <row r="441" spans="8:13" x14ac:dyDescent="0.2">
      <c r="H441">
        <v>0</v>
      </c>
      <c r="M441">
        <v>0</v>
      </c>
    </row>
    <row r="442" spans="8:13" x14ac:dyDescent="0.2">
      <c r="H442">
        <v>0</v>
      </c>
      <c r="M442">
        <v>0</v>
      </c>
    </row>
    <row r="443" spans="8:13" x14ac:dyDescent="0.2">
      <c r="H443">
        <v>0</v>
      </c>
      <c r="M443">
        <v>0</v>
      </c>
    </row>
    <row r="444" spans="8:13" x14ac:dyDescent="0.2">
      <c r="H444">
        <v>0</v>
      </c>
      <c r="M444">
        <v>0</v>
      </c>
    </row>
    <row r="445" spans="8:13" x14ac:dyDescent="0.2">
      <c r="H445">
        <v>0</v>
      </c>
      <c r="M445">
        <v>0</v>
      </c>
    </row>
    <row r="446" spans="8:13" x14ac:dyDescent="0.2">
      <c r="H446">
        <v>0</v>
      </c>
      <c r="M446">
        <v>0</v>
      </c>
    </row>
    <row r="447" spans="8:13" x14ac:dyDescent="0.2">
      <c r="H447">
        <v>0</v>
      </c>
      <c r="M447">
        <v>0</v>
      </c>
    </row>
    <row r="448" spans="8:13" x14ac:dyDescent="0.2">
      <c r="H448">
        <v>0</v>
      </c>
      <c r="M448">
        <v>0</v>
      </c>
    </row>
    <row r="449" spans="8:13" x14ac:dyDescent="0.2">
      <c r="H449">
        <v>0</v>
      </c>
      <c r="M449">
        <v>0</v>
      </c>
    </row>
    <row r="450" spans="8:13" x14ac:dyDescent="0.2">
      <c r="H450">
        <v>0</v>
      </c>
      <c r="M450">
        <v>0</v>
      </c>
    </row>
    <row r="451" spans="8:13" x14ac:dyDescent="0.2">
      <c r="H451">
        <v>0</v>
      </c>
      <c r="M451">
        <v>0</v>
      </c>
    </row>
    <row r="452" spans="8:13" x14ac:dyDescent="0.2">
      <c r="H452">
        <v>0</v>
      </c>
      <c r="M452">
        <v>0</v>
      </c>
    </row>
    <row r="453" spans="8:13" x14ac:dyDescent="0.2">
      <c r="H453">
        <v>0</v>
      </c>
      <c r="M453">
        <v>0</v>
      </c>
    </row>
    <row r="454" spans="8:13" x14ac:dyDescent="0.2">
      <c r="H454">
        <v>0</v>
      </c>
      <c r="M454">
        <v>0</v>
      </c>
    </row>
    <row r="455" spans="8:13" x14ac:dyDescent="0.2">
      <c r="H455">
        <v>0</v>
      </c>
      <c r="M455">
        <v>0</v>
      </c>
    </row>
    <row r="456" spans="8:13" x14ac:dyDescent="0.2">
      <c r="H456">
        <v>0</v>
      </c>
      <c r="M456">
        <v>0</v>
      </c>
    </row>
    <row r="457" spans="8:13" x14ac:dyDescent="0.2">
      <c r="H457">
        <v>0</v>
      </c>
      <c r="M457">
        <v>0</v>
      </c>
    </row>
    <row r="458" spans="8:13" x14ac:dyDescent="0.2">
      <c r="H458">
        <v>0</v>
      </c>
      <c r="M458">
        <v>0</v>
      </c>
    </row>
    <row r="459" spans="8:13" x14ac:dyDescent="0.2">
      <c r="H459">
        <v>0</v>
      </c>
      <c r="M459">
        <v>0</v>
      </c>
    </row>
    <row r="460" spans="8:13" x14ac:dyDescent="0.2">
      <c r="H460">
        <v>0</v>
      </c>
      <c r="M460">
        <v>0</v>
      </c>
    </row>
    <row r="461" spans="8:13" x14ac:dyDescent="0.2">
      <c r="H461">
        <v>0</v>
      </c>
      <c r="M461">
        <v>0</v>
      </c>
    </row>
    <row r="462" spans="8:13" x14ac:dyDescent="0.2">
      <c r="H462">
        <v>0</v>
      </c>
      <c r="M462">
        <v>0</v>
      </c>
    </row>
    <row r="463" spans="8:13" x14ac:dyDescent="0.2">
      <c r="H463">
        <v>1</v>
      </c>
      <c r="M463">
        <v>0</v>
      </c>
    </row>
    <row r="464" spans="8:13" x14ac:dyDescent="0.2">
      <c r="H464">
        <v>0</v>
      </c>
      <c r="M464">
        <v>0</v>
      </c>
    </row>
    <row r="465" spans="8:13" x14ac:dyDescent="0.2">
      <c r="H465">
        <v>0</v>
      </c>
      <c r="M465">
        <v>0</v>
      </c>
    </row>
    <row r="466" spans="8:13" x14ac:dyDescent="0.2">
      <c r="H466">
        <v>0</v>
      </c>
      <c r="M466">
        <v>0</v>
      </c>
    </row>
    <row r="467" spans="8:13" x14ac:dyDescent="0.2">
      <c r="H467">
        <v>0</v>
      </c>
      <c r="M467">
        <v>1</v>
      </c>
    </row>
    <row r="468" spans="8:13" x14ac:dyDescent="0.2">
      <c r="H468">
        <v>0</v>
      </c>
      <c r="M468">
        <v>0</v>
      </c>
    </row>
    <row r="469" spans="8:13" x14ac:dyDescent="0.2">
      <c r="H469">
        <v>0</v>
      </c>
      <c r="M469">
        <v>0</v>
      </c>
    </row>
    <row r="470" spans="8:13" x14ac:dyDescent="0.2">
      <c r="H470">
        <v>0</v>
      </c>
      <c r="M470">
        <v>0</v>
      </c>
    </row>
    <row r="471" spans="8:13" x14ac:dyDescent="0.2">
      <c r="H471">
        <v>0</v>
      </c>
      <c r="M471">
        <v>0</v>
      </c>
    </row>
    <row r="472" spans="8:13" x14ac:dyDescent="0.2">
      <c r="H472">
        <v>0</v>
      </c>
      <c r="M472">
        <v>0</v>
      </c>
    </row>
    <row r="473" spans="8:13" x14ac:dyDescent="0.2">
      <c r="H473">
        <v>0</v>
      </c>
      <c r="M473">
        <v>0</v>
      </c>
    </row>
    <row r="474" spans="8:13" x14ac:dyDescent="0.2">
      <c r="H474">
        <v>0</v>
      </c>
      <c r="M474">
        <v>0</v>
      </c>
    </row>
    <row r="475" spans="8:13" x14ac:dyDescent="0.2">
      <c r="H475">
        <v>0</v>
      </c>
      <c r="M475">
        <v>0</v>
      </c>
    </row>
    <row r="476" spans="8:13" x14ac:dyDescent="0.2">
      <c r="H476">
        <v>0</v>
      </c>
      <c r="M476">
        <v>0</v>
      </c>
    </row>
    <row r="477" spans="8:13" x14ac:dyDescent="0.2">
      <c r="H477">
        <v>0</v>
      </c>
      <c r="M477">
        <v>0</v>
      </c>
    </row>
    <row r="478" spans="8:13" x14ac:dyDescent="0.2">
      <c r="H478">
        <v>0</v>
      </c>
      <c r="M478">
        <v>0</v>
      </c>
    </row>
    <row r="479" spans="8:13" x14ac:dyDescent="0.2">
      <c r="H479">
        <v>0</v>
      </c>
      <c r="M479">
        <v>0</v>
      </c>
    </row>
    <row r="480" spans="8:13" x14ac:dyDescent="0.2">
      <c r="H480">
        <v>0</v>
      </c>
      <c r="M480">
        <v>0</v>
      </c>
    </row>
    <row r="481" spans="8:13" x14ac:dyDescent="0.2">
      <c r="H481">
        <v>0</v>
      </c>
      <c r="M481">
        <v>0</v>
      </c>
    </row>
    <row r="482" spans="8:13" x14ac:dyDescent="0.2">
      <c r="H482">
        <v>0</v>
      </c>
      <c r="M482">
        <v>0</v>
      </c>
    </row>
    <row r="483" spans="8:13" x14ac:dyDescent="0.2">
      <c r="H483">
        <v>0</v>
      </c>
      <c r="M483">
        <v>0</v>
      </c>
    </row>
    <row r="484" spans="8:13" x14ac:dyDescent="0.2">
      <c r="H484">
        <v>0</v>
      </c>
      <c r="M484">
        <v>0</v>
      </c>
    </row>
    <row r="485" spans="8:13" x14ac:dyDescent="0.2">
      <c r="H485">
        <v>0</v>
      </c>
      <c r="M485">
        <v>0</v>
      </c>
    </row>
    <row r="486" spans="8:13" x14ac:dyDescent="0.2">
      <c r="H486">
        <v>0</v>
      </c>
      <c r="M486">
        <v>0</v>
      </c>
    </row>
    <row r="487" spans="8:13" x14ac:dyDescent="0.2">
      <c r="H487">
        <v>0</v>
      </c>
      <c r="M487">
        <v>0</v>
      </c>
    </row>
    <row r="488" spans="8:13" x14ac:dyDescent="0.2">
      <c r="H488">
        <v>0</v>
      </c>
      <c r="M488">
        <v>0</v>
      </c>
    </row>
    <row r="489" spans="8:13" x14ac:dyDescent="0.2">
      <c r="H489">
        <v>0</v>
      </c>
      <c r="M489">
        <v>0</v>
      </c>
    </row>
    <row r="490" spans="8:13" x14ac:dyDescent="0.2">
      <c r="H490">
        <v>0</v>
      </c>
      <c r="M490">
        <v>0</v>
      </c>
    </row>
    <row r="491" spans="8:13" x14ac:dyDescent="0.2">
      <c r="H491">
        <v>0</v>
      </c>
      <c r="M491">
        <v>0</v>
      </c>
    </row>
    <row r="492" spans="8:13" x14ac:dyDescent="0.2">
      <c r="H492">
        <v>0</v>
      </c>
      <c r="M492">
        <v>0</v>
      </c>
    </row>
    <row r="493" spans="8:13" x14ac:dyDescent="0.2">
      <c r="H493">
        <v>0</v>
      </c>
      <c r="M493">
        <v>0</v>
      </c>
    </row>
    <row r="494" spans="8:13" x14ac:dyDescent="0.2">
      <c r="H494">
        <v>0</v>
      </c>
      <c r="M494">
        <v>0</v>
      </c>
    </row>
    <row r="495" spans="8:13" x14ac:dyDescent="0.2">
      <c r="H495">
        <v>0</v>
      </c>
      <c r="M495">
        <v>0</v>
      </c>
    </row>
    <row r="496" spans="8:13" x14ac:dyDescent="0.2">
      <c r="H496">
        <v>0</v>
      </c>
      <c r="M496">
        <v>0</v>
      </c>
    </row>
    <row r="497" spans="8:13" x14ac:dyDescent="0.2">
      <c r="H497">
        <v>1</v>
      </c>
      <c r="M497">
        <v>0</v>
      </c>
    </row>
    <row r="498" spans="8:13" x14ac:dyDescent="0.2">
      <c r="H498">
        <v>0</v>
      </c>
      <c r="M498">
        <v>0</v>
      </c>
    </row>
    <row r="499" spans="8:13" x14ac:dyDescent="0.2">
      <c r="H499">
        <v>0</v>
      </c>
      <c r="M499">
        <v>0</v>
      </c>
    </row>
    <row r="500" spans="8:13" x14ac:dyDescent="0.2">
      <c r="H500">
        <v>0</v>
      </c>
      <c r="M500">
        <v>0</v>
      </c>
    </row>
    <row r="501" spans="8:13" x14ac:dyDescent="0.2">
      <c r="H501">
        <v>0</v>
      </c>
      <c r="M501">
        <v>1</v>
      </c>
    </row>
    <row r="502" spans="8:13" x14ac:dyDescent="0.2">
      <c r="H502">
        <v>0</v>
      </c>
      <c r="M502">
        <v>0</v>
      </c>
    </row>
    <row r="503" spans="8:13" x14ac:dyDescent="0.2">
      <c r="H503">
        <v>0</v>
      </c>
      <c r="M503">
        <v>0</v>
      </c>
    </row>
    <row r="504" spans="8:13" x14ac:dyDescent="0.2">
      <c r="H504">
        <v>0</v>
      </c>
      <c r="M504">
        <v>0</v>
      </c>
    </row>
    <row r="505" spans="8:13" x14ac:dyDescent="0.2">
      <c r="H505">
        <v>0</v>
      </c>
      <c r="M505">
        <v>0</v>
      </c>
    </row>
    <row r="506" spans="8:13" x14ac:dyDescent="0.2">
      <c r="H506">
        <v>0</v>
      </c>
      <c r="M506">
        <v>0</v>
      </c>
    </row>
    <row r="507" spans="8:13" x14ac:dyDescent="0.2">
      <c r="H507">
        <v>0</v>
      </c>
      <c r="M507">
        <v>0</v>
      </c>
    </row>
    <row r="508" spans="8:13" x14ac:dyDescent="0.2">
      <c r="H508">
        <v>0</v>
      </c>
      <c r="M508">
        <v>0</v>
      </c>
    </row>
    <row r="509" spans="8:13" x14ac:dyDescent="0.2">
      <c r="H509">
        <v>0</v>
      </c>
      <c r="M509">
        <v>0</v>
      </c>
    </row>
    <row r="510" spans="8:13" x14ac:dyDescent="0.2">
      <c r="H510">
        <v>0</v>
      </c>
      <c r="M510">
        <v>0</v>
      </c>
    </row>
    <row r="511" spans="8:13" x14ac:dyDescent="0.2">
      <c r="H511">
        <v>0</v>
      </c>
      <c r="M511">
        <v>0</v>
      </c>
    </row>
    <row r="512" spans="8:13" x14ac:dyDescent="0.2">
      <c r="H512">
        <v>0</v>
      </c>
      <c r="M512">
        <v>0</v>
      </c>
    </row>
    <row r="513" spans="8:13" x14ac:dyDescent="0.2">
      <c r="H513">
        <v>0</v>
      </c>
      <c r="M513">
        <v>0</v>
      </c>
    </row>
    <row r="514" spans="8:13" x14ac:dyDescent="0.2">
      <c r="H514">
        <v>0</v>
      </c>
      <c r="M514">
        <v>0</v>
      </c>
    </row>
    <row r="515" spans="8:13" x14ac:dyDescent="0.2">
      <c r="H515">
        <v>0</v>
      </c>
      <c r="M515">
        <v>0</v>
      </c>
    </row>
    <row r="516" spans="8:13" x14ac:dyDescent="0.2">
      <c r="H516">
        <v>0</v>
      </c>
      <c r="M516">
        <v>0</v>
      </c>
    </row>
    <row r="517" spans="8:13" x14ac:dyDescent="0.2">
      <c r="H517">
        <v>0</v>
      </c>
      <c r="M517">
        <v>0</v>
      </c>
    </row>
    <row r="518" spans="8:13" x14ac:dyDescent="0.2">
      <c r="H518">
        <v>0</v>
      </c>
      <c r="M518">
        <v>0</v>
      </c>
    </row>
    <row r="519" spans="8:13" x14ac:dyDescent="0.2">
      <c r="H519">
        <v>0</v>
      </c>
      <c r="M519">
        <v>0</v>
      </c>
    </row>
    <row r="520" spans="8:13" x14ac:dyDescent="0.2">
      <c r="H520">
        <v>0</v>
      </c>
      <c r="M520">
        <v>0</v>
      </c>
    </row>
    <row r="521" spans="8:13" x14ac:dyDescent="0.2">
      <c r="H521">
        <v>0</v>
      </c>
      <c r="M521">
        <v>0</v>
      </c>
    </row>
    <row r="522" spans="8:13" x14ac:dyDescent="0.2">
      <c r="H522">
        <v>0</v>
      </c>
      <c r="M522">
        <v>0</v>
      </c>
    </row>
    <row r="523" spans="8:13" x14ac:dyDescent="0.2">
      <c r="H523">
        <v>0</v>
      </c>
      <c r="M523">
        <v>0</v>
      </c>
    </row>
    <row r="524" spans="8:13" x14ac:dyDescent="0.2">
      <c r="H524">
        <v>0</v>
      </c>
      <c r="M524">
        <v>0</v>
      </c>
    </row>
    <row r="525" spans="8:13" x14ac:dyDescent="0.2">
      <c r="H525">
        <v>0</v>
      </c>
      <c r="M525">
        <v>0</v>
      </c>
    </row>
    <row r="526" spans="8:13" x14ac:dyDescent="0.2">
      <c r="H526">
        <v>0</v>
      </c>
      <c r="M526">
        <v>0</v>
      </c>
    </row>
    <row r="527" spans="8:13" x14ac:dyDescent="0.2">
      <c r="H527">
        <v>0</v>
      </c>
      <c r="M527">
        <v>0</v>
      </c>
    </row>
    <row r="528" spans="8:13" x14ac:dyDescent="0.2">
      <c r="H528">
        <v>0</v>
      </c>
      <c r="M528">
        <v>0</v>
      </c>
    </row>
    <row r="529" spans="8:13" x14ac:dyDescent="0.2">
      <c r="H529">
        <v>0</v>
      </c>
      <c r="M529">
        <v>0</v>
      </c>
    </row>
    <row r="530" spans="8:13" x14ac:dyDescent="0.2">
      <c r="H530">
        <v>1</v>
      </c>
      <c r="M530">
        <v>0</v>
      </c>
    </row>
    <row r="531" spans="8:13" x14ac:dyDescent="0.2">
      <c r="H531">
        <v>0</v>
      </c>
      <c r="M531">
        <v>0</v>
      </c>
    </row>
    <row r="532" spans="8:13" x14ac:dyDescent="0.2">
      <c r="H532">
        <v>0</v>
      </c>
      <c r="M532">
        <v>0</v>
      </c>
    </row>
    <row r="533" spans="8:13" x14ac:dyDescent="0.2">
      <c r="H533">
        <v>0</v>
      </c>
      <c r="M533">
        <v>0</v>
      </c>
    </row>
    <row r="534" spans="8:13" x14ac:dyDescent="0.2">
      <c r="H534">
        <v>0</v>
      </c>
      <c r="M534">
        <v>1</v>
      </c>
    </row>
    <row r="535" spans="8:13" x14ac:dyDescent="0.2">
      <c r="H535">
        <v>0</v>
      </c>
      <c r="M535">
        <v>0</v>
      </c>
    </row>
    <row r="536" spans="8:13" x14ac:dyDescent="0.2">
      <c r="H536">
        <v>0</v>
      </c>
      <c r="M536">
        <v>0</v>
      </c>
    </row>
    <row r="537" spans="8:13" x14ac:dyDescent="0.2">
      <c r="H537">
        <v>0</v>
      </c>
      <c r="M537">
        <v>0</v>
      </c>
    </row>
    <row r="538" spans="8:13" x14ac:dyDescent="0.2">
      <c r="H538">
        <v>0</v>
      </c>
      <c r="M538">
        <v>0</v>
      </c>
    </row>
    <row r="539" spans="8:13" x14ac:dyDescent="0.2">
      <c r="H539">
        <v>0</v>
      </c>
      <c r="M539">
        <v>0</v>
      </c>
    </row>
    <row r="540" spans="8:13" x14ac:dyDescent="0.2">
      <c r="H540">
        <v>0</v>
      </c>
      <c r="M540">
        <v>0</v>
      </c>
    </row>
    <row r="541" spans="8:13" x14ac:dyDescent="0.2">
      <c r="H541">
        <v>0</v>
      </c>
      <c r="M541">
        <v>0</v>
      </c>
    </row>
    <row r="542" spans="8:13" x14ac:dyDescent="0.2">
      <c r="H542">
        <v>0</v>
      </c>
      <c r="M542">
        <v>0</v>
      </c>
    </row>
    <row r="543" spans="8:13" x14ac:dyDescent="0.2">
      <c r="H543">
        <v>0</v>
      </c>
      <c r="M543">
        <v>0</v>
      </c>
    </row>
    <row r="544" spans="8:13" x14ac:dyDescent="0.2">
      <c r="H544">
        <v>0</v>
      </c>
      <c r="M544">
        <v>0</v>
      </c>
    </row>
    <row r="545" spans="8:13" x14ac:dyDescent="0.2">
      <c r="H545">
        <v>0</v>
      </c>
      <c r="M545">
        <v>0</v>
      </c>
    </row>
    <row r="546" spans="8:13" x14ac:dyDescent="0.2">
      <c r="H546">
        <v>0</v>
      </c>
      <c r="M546">
        <v>0</v>
      </c>
    </row>
    <row r="547" spans="8:13" x14ac:dyDescent="0.2">
      <c r="H547">
        <v>0</v>
      </c>
      <c r="M547">
        <v>0</v>
      </c>
    </row>
    <row r="548" spans="8:13" x14ac:dyDescent="0.2">
      <c r="H548">
        <v>0</v>
      </c>
      <c r="M548">
        <v>0</v>
      </c>
    </row>
    <row r="549" spans="8:13" x14ac:dyDescent="0.2">
      <c r="H549">
        <v>0</v>
      </c>
      <c r="M549">
        <v>0</v>
      </c>
    </row>
    <row r="550" spans="8:13" x14ac:dyDescent="0.2">
      <c r="H550">
        <v>0</v>
      </c>
      <c r="M550">
        <v>0</v>
      </c>
    </row>
    <row r="551" spans="8:13" x14ac:dyDescent="0.2">
      <c r="H551">
        <v>0</v>
      </c>
      <c r="M55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44"/>
  <sheetViews>
    <sheetView tabSelected="1" workbookViewId="0">
      <selection activeCell="R1" sqref="R1"/>
    </sheetView>
  </sheetViews>
  <sheetFormatPr baseColWidth="10" defaultRowHeight="16" x14ac:dyDescent="0.2"/>
  <cols>
    <col min="6" max="7" width="10.83203125" style="38"/>
  </cols>
  <sheetData>
    <row r="1" spans="2:18" x14ac:dyDescent="0.2">
      <c r="B1">
        <v>1</v>
      </c>
      <c r="C1">
        <v>0</v>
      </c>
      <c r="E1">
        <v>0</v>
      </c>
      <c r="F1" s="38">
        <v>0</v>
      </c>
      <c r="Q1">
        <v>0</v>
      </c>
      <c r="R1">
        <v>0</v>
      </c>
    </row>
    <row r="2" spans="2:18" x14ac:dyDescent="0.2">
      <c r="B2">
        <v>1</v>
      </c>
      <c r="C2">
        <v>0</v>
      </c>
      <c r="E2">
        <v>0</v>
      </c>
      <c r="F2" s="38">
        <v>0</v>
      </c>
      <c r="Q2">
        <v>1</v>
      </c>
      <c r="R2">
        <v>0</v>
      </c>
    </row>
    <row r="3" spans="2:18" x14ac:dyDescent="0.2">
      <c r="B3">
        <v>1</v>
      </c>
      <c r="C3">
        <v>0</v>
      </c>
      <c r="D3" t="s">
        <v>120</v>
      </c>
      <c r="E3">
        <v>0</v>
      </c>
      <c r="F3" s="38">
        <v>0</v>
      </c>
      <c r="Q3">
        <v>1</v>
      </c>
      <c r="R3">
        <v>0</v>
      </c>
    </row>
    <row r="4" spans="2:18" x14ac:dyDescent="0.2">
      <c r="B4">
        <v>1</v>
      </c>
      <c r="C4">
        <v>0</v>
      </c>
      <c r="E4">
        <v>0</v>
      </c>
      <c r="F4" s="38">
        <v>0</v>
      </c>
      <c r="Q4">
        <v>1</v>
      </c>
      <c r="R4">
        <v>0</v>
      </c>
    </row>
    <row r="5" spans="2:18" x14ac:dyDescent="0.2">
      <c r="B5">
        <v>1</v>
      </c>
      <c r="C5">
        <v>0</v>
      </c>
      <c r="E5">
        <v>0</v>
      </c>
      <c r="F5" s="38">
        <v>0</v>
      </c>
      <c r="Q5">
        <v>1</v>
      </c>
      <c r="R5">
        <v>0</v>
      </c>
    </row>
    <row r="6" spans="2:18" x14ac:dyDescent="0.2">
      <c r="B6">
        <v>1</v>
      </c>
      <c r="C6">
        <v>0</v>
      </c>
      <c r="E6">
        <v>0</v>
      </c>
      <c r="F6" s="38">
        <v>1</v>
      </c>
      <c r="Q6">
        <v>1</v>
      </c>
      <c r="R6">
        <v>0</v>
      </c>
    </row>
    <row r="7" spans="2:18" x14ac:dyDescent="0.2">
      <c r="B7">
        <v>0</v>
      </c>
      <c r="C7">
        <v>0</v>
      </c>
      <c r="E7">
        <v>0</v>
      </c>
      <c r="F7" s="38">
        <v>1</v>
      </c>
      <c r="Q7">
        <v>0</v>
      </c>
      <c r="R7">
        <v>0</v>
      </c>
    </row>
    <row r="8" spans="2:18" x14ac:dyDescent="0.2">
      <c r="B8">
        <v>0</v>
      </c>
      <c r="C8">
        <v>1</v>
      </c>
      <c r="E8">
        <v>0</v>
      </c>
      <c r="F8" s="38">
        <v>1</v>
      </c>
      <c r="L8" s="16" t="s">
        <v>31</v>
      </c>
      <c r="M8" s="15" t="s">
        <v>106</v>
      </c>
      <c r="N8" s="15" t="s">
        <v>29</v>
      </c>
      <c r="O8" s="15">
        <v>17</v>
      </c>
      <c r="Q8">
        <v>0</v>
      </c>
      <c r="R8">
        <v>1</v>
      </c>
    </row>
    <row r="9" spans="2:18" x14ac:dyDescent="0.2">
      <c r="B9">
        <v>0</v>
      </c>
      <c r="C9">
        <v>1</v>
      </c>
      <c r="E9">
        <v>1</v>
      </c>
      <c r="F9" s="38">
        <v>1</v>
      </c>
      <c r="L9" s="16"/>
      <c r="M9" s="15"/>
      <c r="N9" s="15" t="s">
        <v>108</v>
      </c>
      <c r="O9" s="15">
        <v>1</v>
      </c>
      <c r="Q9">
        <v>0</v>
      </c>
      <c r="R9">
        <v>1</v>
      </c>
    </row>
    <row r="10" spans="2:18" x14ac:dyDescent="0.2">
      <c r="B10">
        <v>0</v>
      </c>
      <c r="C10">
        <v>1</v>
      </c>
      <c r="E10">
        <v>1</v>
      </c>
      <c r="F10" s="38">
        <v>1</v>
      </c>
      <c r="L10" s="16" t="s">
        <v>34</v>
      </c>
      <c r="M10" s="16" t="s">
        <v>35</v>
      </c>
      <c r="N10" s="7" t="s">
        <v>36</v>
      </c>
      <c r="O10" s="16">
        <v>5</v>
      </c>
      <c r="Q10">
        <v>0</v>
      </c>
      <c r="R10">
        <v>1</v>
      </c>
    </row>
    <row r="11" spans="2:18" x14ac:dyDescent="0.2">
      <c r="B11">
        <v>1</v>
      </c>
      <c r="C11">
        <v>1</v>
      </c>
      <c r="E11">
        <v>1</v>
      </c>
      <c r="F11" s="38">
        <v>0</v>
      </c>
      <c r="L11" s="16"/>
      <c r="M11" s="16" t="s">
        <v>40</v>
      </c>
      <c r="N11" s="16" t="s">
        <v>29</v>
      </c>
      <c r="O11" s="16">
        <v>4</v>
      </c>
      <c r="Q11">
        <v>1</v>
      </c>
      <c r="R11">
        <v>1</v>
      </c>
    </row>
    <row r="12" spans="2:18" x14ac:dyDescent="0.2">
      <c r="B12">
        <v>1</v>
      </c>
      <c r="C12">
        <v>1</v>
      </c>
      <c r="E12">
        <v>1</v>
      </c>
      <c r="F12" s="38">
        <v>0</v>
      </c>
      <c r="L12" s="16"/>
      <c r="M12" s="19" t="s">
        <v>42</v>
      </c>
      <c r="N12" s="19" t="s">
        <v>29</v>
      </c>
      <c r="O12" s="19">
        <v>8.5</v>
      </c>
      <c r="Q12">
        <v>1</v>
      </c>
      <c r="R12">
        <v>1</v>
      </c>
    </row>
    <row r="13" spans="2:18" x14ac:dyDescent="0.2">
      <c r="B13">
        <v>1</v>
      </c>
      <c r="C13">
        <v>1</v>
      </c>
      <c r="E13">
        <v>1</v>
      </c>
      <c r="F13" s="38">
        <v>0</v>
      </c>
      <c r="L13" s="16"/>
      <c r="M13" s="16" t="s">
        <v>46</v>
      </c>
      <c r="N13" s="16" t="s">
        <v>29</v>
      </c>
      <c r="O13" s="16">
        <v>5</v>
      </c>
      <c r="Q13">
        <v>1</v>
      </c>
      <c r="R13">
        <v>0</v>
      </c>
    </row>
    <row r="14" spans="2:18" x14ac:dyDescent="0.2">
      <c r="B14">
        <v>1</v>
      </c>
      <c r="C14">
        <v>0</v>
      </c>
      <c r="E14">
        <v>1</v>
      </c>
      <c r="F14" s="38">
        <v>0</v>
      </c>
      <c r="L14" s="16"/>
      <c r="M14" s="16" t="s">
        <v>48</v>
      </c>
      <c r="N14" s="16" t="s">
        <v>49</v>
      </c>
      <c r="O14" s="16">
        <v>6</v>
      </c>
      <c r="Q14">
        <v>1</v>
      </c>
      <c r="R14">
        <v>0</v>
      </c>
    </row>
    <row r="15" spans="2:18" x14ac:dyDescent="0.2">
      <c r="B15">
        <v>1</v>
      </c>
      <c r="C15">
        <v>0</v>
      </c>
      <c r="E15">
        <v>0</v>
      </c>
      <c r="F15" s="38">
        <v>1</v>
      </c>
      <c r="L15" s="16"/>
      <c r="M15" s="16" t="s">
        <v>51</v>
      </c>
      <c r="N15" s="16" t="s">
        <v>29</v>
      </c>
      <c r="O15" s="16">
        <v>6</v>
      </c>
      <c r="Q15">
        <v>1</v>
      </c>
      <c r="R15">
        <v>0</v>
      </c>
    </row>
    <row r="16" spans="2:18" x14ac:dyDescent="0.2">
      <c r="B16">
        <v>1</v>
      </c>
      <c r="C16">
        <v>0</v>
      </c>
      <c r="E16">
        <v>0</v>
      </c>
      <c r="F16" s="38">
        <v>1</v>
      </c>
      <c r="Q16">
        <v>1</v>
      </c>
      <c r="R16">
        <v>0</v>
      </c>
    </row>
    <row r="17" spans="2:18" x14ac:dyDescent="0.2">
      <c r="B17">
        <v>1</v>
      </c>
      <c r="C17">
        <v>0</v>
      </c>
      <c r="E17">
        <v>0</v>
      </c>
      <c r="F17" s="38">
        <v>1</v>
      </c>
      <c r="O17">
        <f>SUM(O9:O14)</f>
        <v>29.5</v>
      </c>
      <c r="Q17">
        <v>1</v>
      </c>
      <c r="R17">
        <v>1</v>
      </c>
    </row>
    <row r="18" spans="2:18" x14ac:dyDescent="0.2">
      <c r="B18">
        <v>1</v>
      </c>
      <c r="C18">
        <v>1</v>
      </c>
      <c r="E18">
        <v>0</v>
      </c>
      <c r="F18" s="38">
        <v>1</v>
      </c>
      <c r="Q18">
        <v>1</v>
      </c>
      <c r="R18">
        <v>1</v>
      </c>
    </row>
    <row r="19" spans="2:18" x14ac:dyDescent="0.2">
      <c r="B19">
        <v>1</v>
      </c>
      <c r="C19">
        <v>1</v>
      </c>
      <c r="E19">
        <v>1</v>
      </c>
      <c r="F19" s="38">
        <v>1</v>
      </c>
      <c r="M19" t="s">
        <v>128</v>
      </c>
      <c r="Q19">
        <v>1</v>
      </c>
      <c r="R19">
        <v>1</v>
      </c>
    </row>
    <row r="20" spans="2:18" x14ac:dyDescent="0.2">
      <c r="B20">
        <v>0</v>
      </c>
      <c r="C20">
        <v>1</v>
      </c>
      <c r="E20">
        <v>1</v>
      </c>
      <c r="F20" s="38">
        <v>1</v>
      </c>
      <c r="H20" t="s">
        <v>124</v>
      </c>
      <c r="M20" t="s">
        <v>121</v>
      </c>
      <c r="Q20">
        <v>0</v>
      </c>
      <c r="R20">
        <v>1</v>
      </c>
    </row>
    <row r="21" spans="2:18" ht="19" x14ac:dyDescent="0.2">
      <c r="B21">
        <v>0</v>
      </c>
      <c r="C21">
        <v>1</v>
      </c>
      <c r="E21">
        <v>1</v>
      </c>
      <c r="F21" s="38">
        <v>1</v>
      </c>
      <c r="H21" s="37" t="s">
        <v>125</v>
      </c>
      <c r="M21" t="s">
        <v>122</v>
      </c>
      <c r="Q21">
        <v>0</v>
      </c>
      <c r="R21">
        <v>1</v>
      </c>
    </row>
    <row r="22" spans="2:18" ht="19" x14ac:dyDescent="0.2">
      <c r="B22">
        <v>0</v>
      </c>
      <c r="C22">
        <v>1</v>
      </c>
      <c r="E22">
        <v>1</v>
      </c>
      <c r="F22" s="38">
        <v>1</v>
      </c>
      <c r="H22" s="37" t="s">
        <v>126</v>
      </c>
      <c r="M22" t="s">
        <v>123</v>
      </c>
      <c r="Q22">
        <v>0</v>
      </c>
      <c r="R22">
        <v>1</v>
      </c>
    </row>
    <row r="23" spans="2:18" ht="19" x14ac:dyDescent="0.2">
      <c r="B23">
        <v>0</v>
      </c>
      <c r="C23">
        <v>1</v>
      </c>
      <c r="E23">
        <v>1</v>
      </c>
      <c r="F23" s="38">
        <v>1</v>
      </c>
      <c r="H23" s="37" t="s">
        <v>127</v>
      </c>
      <c r="Q23">
        <v>0</v>
      </c>
      <c r="R23">
        <v>1</v>
      </c>
    </row>
    <row r="24" spans="2:18" ht="19" x14ac:dyDescent="0.2">
      <c r="B24">
        <v>0</v>
      </c>
      <c r="C24">
        <v>1</v>
      </c>
      <c r="E24">
        <v>1</v>
      </c>
      <c r="F24" s="38">
        <v>0</v>
      </c>
      <c r="H24" s="37" t="s">
        <v>129</v>
      </c>
      <c r="Q24">
        <v>0</v>
      </c>
      <c r="R24">
        <v>1</v>
      </c>
    </row>
    <row r="25" spans="2:18" x14ac:dyDescent="0.2">
      <c r="B25">
        <v>1</v>
      </c>
      <c r="C25">
        <v>1</v>
      </c>
      <c r="E25">
        <v>1</v>
      </c>
      <c r="F25" s="38">
        <v>0</v>
      </c>
      <c r="G25" s="38">
        <v>0</v>
      </c>
      <c r="N25">
        <v>15</v>
      </c>
      <c r="Q25">
        <v>1</v>
      </c>
      <c r="R25">
        <v>1</v>
      </c>
    </row>
    <row r="26" spans="2:18" x14ac:dyDescent="0.2">
      <c r="B26">
        <v>1</v>
      </c>
      <c r="C26">
        <v>1</v>
      </c>
      <c r="E26">
        <v>1</v>
      </c>
      <c r="F26" s="38">
        <v>0</v>
      </c>
      <c r="G26" s="38">
        <v>0</v>
      </c>
      <c r="Q26">
        <v>1</v>
      </c>
      <c r="R26">
        <v>0</v>
      </c>
    </row>
    <row r="27" spans="2:18" x14ac:dyDescent="0.2">
      <c r="B27">
        <v>1</v>
      </c>
      <c r="C27">
        <v>0</v>
      </c>
      <c r="E27">
        <v>1</v>
      </c>
      <c r="F27" s="38">
        <v>0</v>
      </c>
      <c r="G27" s="38">
        <v>0</v>
      </c>
      <c r="Q27">
        <v>1</v>
      </c>
      <c r="R27">
        <v>0</v>
      </c>
    </row>
    <row r="28" spans="2:18" x14ac:dyDescent="0.2">
      <c r="B28">
        <v>1</v>
      </c>
      <c r="C28">
        <v>0</v>
      </c>
      <c r="E28">
        <v>0</v>
      </c>
      <c r="F28" s="38">
        <v>0</v>
      </c>
      <c r="G28" s="38">
        <v>0</v>
      </c>
      <c r="Q28">
        <v>1</v>
      </c>
      <c r="R28">
        <v>0</v>
      </c>
    </row>
    <row r="29" spans="2:18" x14ac:dyDescent="0.2">
      <c r="B29">
        <v>1</v>
      </c>
      <c r="C29">
        <v>0</v>
      </c>
      <c r="E29">
        <v>0</v>
      </c>
      <c r="F29" s="38">
        <v>1</v>
      </c>
      <c r="G29" s="38">
        <v>0</v>
      </c>
      <c r="Q29">
        <v>1</v>
      </c>
      <c r="R29">
        <v>0</v>
      </c>
    </row>
    <row r="30" spans="2:18" x14ac:dyDescent="0.2">
      <c r="B30">
        <v>1</v>
      </c>
      <c r="C30">
        <v>0</v>
      </c>
      <c r="E30">
        <v>0</v>
      </c>
      <c r="F30" s="38">
        <v>1</v>
      </c>
      <c r="G30" s="38">
        <v>0</v>
      </c>
      <c r="Q30">
        <v>1</v>
      </c>
      <c r="R30">
        <v>0</v>
      </c>
    </row>
    <row r="31" spans="2:18" x14ac:dyDescent="0.2">
      <c r="C31">
        <v>0</v>
      </c>
      <c r="E31">
        <v>0</v>
      </c>
      <c r="F31" s="38">
        <v>1</v>
      </c>
      <c r="G31" s="38">
        <v>1</v>
      </c>
      <c r="Q31">
        <v>0</v>
      </c>
      <c r="R31">
        <v>1</v>
      </c>
    </row>
    <row r="32" spans="2:18" x14ac:dyDescent="0.2">
      <c r="C32">
        <v>1</v>
      </c>
      <c r="E32">
        <v>0</v>
      </c>
      <c r="F32" s="38">
        <v>1</v>
      </c>
      <c r="G32" s="38">
        <v>1</v>
      </c>
      <c r="Q32">
        <v>0</v>
      </c>
      <c r="R32">
        <v>1</v>
      </c>
    </row>
    <row r="33" spans="3:18" x14ac:dyDescent="0.2">
      <c r="C33">
        <v>1</v>
      </c>
      <c r="E33">
        <v>1</v>
      </c>
      <c r="F33" s="38">
        <v>1</v>
      </c>
      <c r="G33" s="38">
        <v>1</v>
      </c>
      <c r="Q33">
        <v>0</v>
      </c>
      <c r="R33">
        <v>1</v>
      </c>
    </row>
    <row r="34" spans="3:18" x14ac:dyDescent="0.2">
      <c r="C34">
        <v>1</v>
      </c>
      <c r="E34">
        <v>1</v>
      </c>
      <c r="F34" s="38">
        <v>0</v>
      </c>
      <c r="G34" s="38">
        <v>1</v>
      </c>
      <c r="Q34">
        <v>0</v>
      </c>
      <c r="R34">
        <v>1</v>
      </c>
    </row>
    <row r="35" spans="3:18" x14ac:dyDescent="0.2">
      <c r="C35">
        <v>1</v>
      </c>
      <c r="E35">
        <v>1</v>
      </c>
      <c r="F35" s="38">
        <v>0</v>
      </c>
      <c r="G35" s="38">
        <v>1</v>
      </c>
      <c r="Q35">
        <v>0</v>
      </c>
      <c r="R35">
        <v>1</v>
      </c>
    </row>
    <row r="36" spans="3:18" x14ac:dyDescent="0.2">
      <c r="C36">
        <v>1</v>
      </c>
      <c r="E36">
        <v>1</v>
      </c>
      <c r="F36" s="38">
        <v>0</v>
      </c>
      <c r="G36" s="38">
        <v>1</v>
      </c>
      <c r="Q36">
        <v>0</v>
      </c>
      <c r="R36">
        <v>1</v>
      </c>
    </row>
    <row r="37" spans="3:18" x14ac:dyDescent="0.2">
      <c r="C37">
        <v>1</v>
      </c>
      <c r="E37">
        <v>1</v>
      </c>
      <c r="F37" s="38">
        <v>0</v>
      </c>
      <c r="G37" s="38">
        <v>0</v>
      </c>
      <c r="Q37">
        <v>0</v>
      </c>
      <c r="R37">
        <v>0</v>
      </c>
    </row>
    <row r="38" spans="3:18" x14ac:dyDescent="0.2">
      <c r="C38">
        <v>0</v>
      </c>
      <c r="E38">
        <v>1</v>
      </c>
      <c r="F38" s="38">
        <v>0</v>
      </c>
      <c r="G38" s="38">
        <v>0</v>
      </c>
      <c r="R38">
        <v>0</v>
      </c>
    </row>
    <row r="39" spans="3:18" x14ac:dyDescent="0.2">
      <c r="C39">
        <v>0</v>
      </c>
      <c r="E39">
        <v>0</v>
      </c>
      <c r="F39" s="38">
        <v>0</v>
      </c>
      <c r="G39" s="38">
        <v>0</v>
      </c>
      <c r="R39">
        <v>0</v>
      </c>
    </row>
    <row r="40" spans="3:18" x14ac:dyDescent="0.2">
      <c r="C40">
        <v>0</v>
      </c>
      <c r="E40">
        <v>0</v>
      </c>
      <c r="G40" s="38">
        <v>0</v>
      </c>
      <c r="R40">
        <v>0</v>
      </c>
    </row>
    <row r="41" spans="3:18" x14ac:dyDescent="0.2">
      <c r="C41">
        <v>0</v>
      </c>
      <c r="E41">
        <v>0</v>
      </c>
      <c r="R41">
        <v>0</v>
      </c>
    </row>
    <row r="42" spans="3:18" x14ac:dyDescent="0.2">
      <c r="C42">
        <v>0</v>
      </c>
      <c r="E42">
        <v>0</v>
      </c>
      <c r="R42">
        <v>0</v>
      </c>
    </row>
    <row r="43" spans="3:18" x14ac:dyDescent="0.2">
      <c r="E43">
        <v>0</v>
      </c>
      <c r="R43">
        <v>0</v>
      </c>
    </row>
    <row r="44" spans="3:18" x14ac:dyDescent="0.2">
      <c r="E4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8"/>
  <sheetViews>
    <sheetView topLeftCell="A7" workbookViewId="0">
      <selection activeCell="U26" sqref="U26:V31"/>
    </sheetView>
  </sheetViews>
  <sheetFormatPr baseColWidth="10" defaultColWidth="8.83203125" defaultRowHeight="16" x14ac:dyDescent="0.2"/>
  <sheetData>
    <row r="1" spans="1:19" x14ac:dyDescent="0.2">
      <c r="A1" s="5" t="s">
        <v>85</v>
      </c>
      <c r="B1" s="6"/>
      <c r="C1" s="6"/>
      <c r="D1" s="6"/>
      <c r="E1" s="2"/>
      <c r="F1" s="2"/>
      <c r="I1" s="2"/>
      <c r="J1" s="2"/>
      <c r="K1" s="2"/>
      <c r="L1" s="2"/>
      <c r="R1">
        <v>0</v>
      </c>
    </row>
    <row r="2" spans="1:19" x14ac:dyDescent="0.2">
      <c r="A2" s="1" t="s">
        <v>86</v>
      </c>
      <c r="B2" s="1"/>
      <c r="C2" s="1"/>
      <c r="D2" s="1"/>
      <c r="E2" s="1"/>
      <c r="F2" s="1"/>
      <c r="I2" s="1" t="s">
        <v>87</v>
      </c>
      <c r="J2" s="1"/>
      <c r="K2" s="1"/>
      <c r="L2" s="1"/>
      <c r="R2">
        <v>0</v>
      </c>
    </row>
    <row r="3" spans="1:19" x14ac:dyDescent="0.2">
      <c r="A3" s="2" t="s">
        <v>15</v>
      </c>
      <c r="B3" s="2" t="s">
        <v>88</v>
      </c>
      <c r="C3" s="2" t="s">
        <v>89</v>
      </c>
      <c r="D3" s="2" t="s">
        <v>90</v>
      </c>
      <c r="E3" s="2" t="s">
        <v>91</v>
      </c>
      <c r="F3" s="2"/>
      <c r="I3" s="2" t="s">
        <v>15</v>
      </c>
      <c r="J3" s="2" t="s">
        <v>88</v>
      </c>
      <c r="K3" s="2" t="s">
        <v>89</v>
      </c>
      <c r="L3" s="2" t="s">
        <v>90</v>
      </c>
      <c r="R3">
        <v>0</v>
      </c>
    </row>
    <row r="4" spans="1:19" x14ac:dyDescent="0.2">
      <c r="A4" s="2" t="s">
        <v>92</v>
      </c>
      <c r="B4" s="6">
        <v>35</v>
      </c>
      <c r="C4" s="6">
        <v>25</v>
      </c>
      <c r="E4" s="2"/>
      <c r="F4" s="2" t="s">
        <v>93</v>
      </c>
      <c r="G4" t="s">
        <v>94</v>
      </c>
      <c r="I4" s="2" t="s">
        <v>92</v>
      </c>
      <c r="J4" s="6">
        <v>35</v>
      </c>
      <c r="K4" s="6">
        <v>25</v>
      </c>
      <c r="N4" t="s">
        <v>95</v>
      </c>
      <c r="O4" t="s">
        <v>94</v>
      </c>
      <c r="R4">
        <v>0</v>
      </c>
    </row>
    <row r="5" spans="1:19" x14ac:dyDescent="0.2">
      <c r="A5" s="2" t="s">
        <v>96</v>
      </c>
      <c r="B5" s="6"/>
      <c r="C5" s="6">
        <v>25</v>
      </c>
      <c r="D5" s="2">
        <v>0.4</v>
      </c>
      <c r="E5" s="2"/>
      <c r="F5" s="2"/>
      <c r="I5" s="2" t="s">
        <v>96</v>
      </c>
      <c r="J5" s="6"/>
      <c r="K5" s="6"/>
      <c r="L5" s="2">
        <v>0.32</v>
      </c>
      <c r="R5">
        <v>1</v>
      </c>
    </row>
    <row r="6" spans="1:19" x14ac:dyDescent="0.2">
      <c r="A6" s="2" t="s">
        <v>97</v>
      </c>
      <c r="B6" s="6">
        <v>45</v>
      </c>
      <c r="C6" s="6">
        <v>25</v>
      </c>
      <c r="D6" s="2">
        <v>1.1000000000000001</v>
      </c>
      <c r="E6" s="2"/>
      <c r="F6" s="2">
        <v>1.5</v>
      </c>
      <c r="G6">
        <v>1.54</v>
      </c>
      <c r="I6" s="2" t="s">
        <v>97</v>
      </c>
      <c r="J6" s="6">
        <v>43</v>
      </c>
      <c r="K6" s="6">
        <v>25</v>
      </c>
      <c r="L6" s="2">
        <v>0.88</v>
      </c>
      <c r="N6">
        <f>SUM(L5:L6)</f>
        <v>1.2</v>
      </c>
      <c r="O6">
        <v>1.24</v>
      </c>
      <c r="R6">
        <v>1</v>
      </c>
      <c r="S6">
        <v>0</v>
      </c>
    </row>
    <row r="7" spans="1:19" x14ac:dyDescent="0.2">
      <c r="A7" s="2" t="s">
        <v>98</v>
      </c>
      <c r="B7" s="6">
        <v>46</v>
      </c>
      <c r="C7" s="6">
        <v>25</v>
      </c>
      <c r="D7" s="2">
        <v>3.02</v>
      </c>
      <c r="E7" s="2"/>
      <c r="F7" s="2">
        <v>4.5599999999999996</v>
      </c>
      <c r="G7">
        <v>4.5999999999999996</v>
      </c>
      <c r="I7" s="2" t="s">
        <v>98</v>
      </c>
      <c r="J7" s="6">
        <v>44</v>
      </c>
      <c r="K7" s="6">
        <v>25</v>
      </c>
      <c r="L7" s="2">
        <v>2.5</v>
      </c>
      <c r="N7">
        <v>3.74</v>
      </c>
      <c r="O7">
        <v>3.78</v>
      </c>
      <c r="R7">
        <v>1</v>
      </c>
      <c r="S7">
        <v>0</v>
      </c>
    </row>
    <row r="8" spans="1:19" x14ac:dyDescent="0.2">
      <c r="A8" s="2" t="s">
        <v>99</v>
      </c>
      <c r="B8" s="6">
        <v>47</v>
      </c>
      <c r="C8" s="6">
        <v>25</v>
      </c>
      <c r="D8" s="2">
        <v>3.1549999999999998</v>
      </c>
      <c r="E8" s="2"/>
      <c r="F8" s="2">
        <v>7.76</v>
      </c>
      <c r="I8" s="2" t="s">
        <v>99</v>
      </c>
      <c r="J8" s="6">
        <v>45</v>
      </c>
      <c r="K8" s="6">
        <v>25</v>
      </c>
      <c r="L8" s="2">
        <v>4.0549999999999997</v>
      </c>
      <c r="N8">
        <v>7.84</v>
      </c>
      <c r="R8">
        <v>1</v>
      </c>
      <c r="S8">
        <v>0</v>
      </c>
    </row>
    <row r="9" spans="1:19" x14ac:dyDescent="0.2">
      <c r="A9" s="2" t="s">
        <v>100</v>
      </c>
      <c r="B9" s="6"/>
      <c r="C9" s="6">
        <v>25</v>
      </c>
      <c r="D9" s="2">
        <v>0.4</v>
      </c>
      <c r="E9" s="2"/>
      <c r="F9" s="2"/>
      <c r="I9" s="2" t="s">
        <v>100</v>
      </c>
      <c r="J9" s="6"/>
      <c r="K9" s="6">
        <v>25</v>
      </c>
      <c r="L9" s="2">
        <v>0.32</v>
      </c>
      <c r="R9">
        <v>1</v>
      </c>
      <c r="S9">
        <v>0</v>
      </c>
    </row>
    <row r="10" spans="1:19" x14ac:dyDescent="0.2">
      <c r="A10" s="2" t="s">
        <v>101</v>
      </c>
      <c r="B10" s="6"/>
      <c r="C10" s="6"/>
      <c r="D10" s="12">
        <f>SUM(D5:D9)</f>
        <v>8.0749999999999993</v>
      </c>
      <c r="E10" s="2">
        <v>8.5</v>
      </c>
      <c r="F10" s="2"/>
      <c r="I10" s="2" t="s">
        <v>101</v>
      </c>
      <c r="J10" s="2"/>
      <c r="K10" s="6"/>
      <c r="L10" s="2">
        <f>SUM(L5:L9)</f>
        <v>8.0749999999999993</v>
      </c>
      <c r="M10">
        <v>8.5</v>
      </c>
      <c r="R10">
        <v>0</v>
      </c>
      <c r="S10">
        <v>1</v>
      </c>
    </row>
    <row r="11" spans="1:19" x14ac:dyDescent="0.2">
      <c r="A11" s="2"/>
      <c r="B11" s="6"/>
      <c r="C11" s="6"/>
      <c r="D11" s="2"/>
      <c r="E11" s="2"/>
      <c r="F11" s="2"/>
      <c r="I11" s="2"/>
      <c r="J11" s="6"/>
      <c r="K11" s="6"/>
      <c r="L11" s="2"/>
      <c r="R11">
        <v>0</v>
      </c>
      <c r="S11">
        <v>1</v>
      </c>
    </row>
    <row r="12" spans="1:19" x14ac:dyDescent="0.2">
      <c r="A12" s="2"/>
      <c r="B12" s="6"/>
      <c r="C12" s="6"/>
      <c r="D12" s="2"/>
      <c r="E12" s="2"/>
      <c r="F12" s="6"/>
      <c r="I12" s="2"/>
      <c r="J12" s="6"/>
      <c r="K12" s="6"/>
      <c r="L12" s="2"/>
      <c r="R12">
        <v>0</v>
      </c>
      <c r="S12">
        <v>1</v>
      </c>
    </row>
    <row r="13" spans="1:19" x14ac:dyDescent="0.2">
      <c r="A13" s="6"/>
      <c r="B13" s="6"/>
      <c r="C13" s="6"/>
      <c r="D13" s="2"/>
      <c r="E13" s="2"/>
      <c r="F13" s="6"/>
      <c r="I13" s="2"/>
      <c r="J13" s="6"/>
      <c r="K13" s="6"/>
      <c r="L13" s="2"/>
      <c r="R13">
        <v>0</v>
      </c>
      <c r="S13">
        <v>1</v>
      </c>
    </row>
    <row r="14" spans="1:19" x14ac:dyDescent="0.2">
      <c r="A14" s="5" t="s">
        <v>102</v>
      </c>
      <c r="B14" s="6"/>
      <c r="C14" s="6"/>
      <c r="D14" s="6"/>
      <c r="E14" s="6"/>
      <c r="F14" s="6"/>
      <c r="I14" s="3"/>
      <c r="J14" s="3"/>
      <c r="K14" s="3"/>
      <c r="L14" s="3"/>
      <c r="Q14" t="s">
        <v>119</v>
      </c>
      <c r="R14">
        <v>1</v>
      </c>
      <c r="S14">
        <v>1</v>
      </c>
    </row>
    <row r="15" spans="1:19" x14ac:dyDescent="0.2">
      <c r="A15" s="1" t="s">
        <v>86</v>
      </c>
      <c r="B15" s="1"/>
      <c r="C15" s="1"/>
      <c r="D15" s="1"/>
      <c r="E15" s="1"/>
      <c r="F15" s="1"/>
      <c r="I15" s="1" t="s">
        <v>87</v>
      </c>
      <c r="J15" s="1"/>
      <c r="K15" s="1"/>
      <c r="L15" s="1"/>
      <c r="R15">
        <v>1</v>
      </c>
      <c r="S15">
        <v>0</v>
      </c>
    </row>
    <row r="16" spans="1:19" x14ac:dyDescent="0.2">
      <c r="A16" s="2" t="s">
        <v>92</v>
      </c>
      <c r="B16" s="6">
        <v>35</v>
      </c>
      <c r="C16" s="6"/>
      <c r="D16" s="6"/>
      <c r="E16" s="6"/>
      <c r="F16" s="6"/>
      <c r="I16" s="2" t="s">
        <v>92</v>
      </c>
      <c r="J16" s="2">
        <v>35</v>
      </c>
      <c r="K16" s="2"/>
      <c r="L16" s="2"/>
      <c r="R16">
        <v>1</v>
      </c>
      <c r="S16">
        <v>0</v>
      </c>
    </row>
    <row r="17" spans="1:22" x14ac:dyDescent="0.2">
      <c r="A17" s="2" t="s">
        <v>103</v>
      </c>
      <c r="B17" s="6"/>
      <c r="C17" s="6">
        <v>5</v>
      </c>
      <c r="D17" s="6">
        <v>2.4</v>
      </c>
      <c r="E17" s="6"/>
      <c r="F17" s="6"/>
      <c r="I17" s="2" t="s">
        <v>103</v>
      </c>
      <c r="J17" s="6"/>
      <c r="K17" s="6">
        <v>5</v>
      </c>
      <c r="L17">
        <v>2</v>
      </c>
      <c r="R17">
        <v>1</v>
      </c>
      <c r="S17">
        <v>0</v>
      </c>
    </row>
    <row r="18" spans="1:22" x14ac:dyDescent="0.2">
      <c r="A18" s="2" t="s">
        <v>104</v>
      </c>
      <c r="B18" s="6">
        <v>47</v>
      </c>
      <c r="C18" s="6">
        <v>5</v>
      </c>
      <c r="D18" s="6">
        <v>3.2749999999999999</v>
      </c>
      <c r="E18" s="6"/>
      <c r="F18" s="6"/>
      <c r="I18" s="2" t="s">
        <v>104</v>
      </c>
      <c r="J18" s="6">
        <v>45</v>
      </c>
      <c r="K18" s="6">
        <v>5</v>
      </c>
      <c r="L18" s="2">
        <v>4.0750000000000002</v>
      </c>
      <c r="R18">
        <v>1</v>
      </c>
      <c r="S18">
        <v>0</v>
      </c>
    </row>
    <row r="19" spans="1:22" x14ac:dyDescent="0.2">
      <c r="A19" s="2" t="s">
        <v>105</v>
      </c>
      <c r="B19" s="6"/>
      <c r="C19" s="6">
        <v>5</v>
      </c>
      <c r="D19" s="6">
        <v>2.4</v>
      </c>
      <c r="E19" s="6"/>
      <c r="F19" s="6"/>
      <c r="I19" s="2" t="s">
        <v>105</v>
      </c>
      <c r="J19" s="6"/>
      <c r="K19" s="6">
        <v>5</v>
      </c>
      <c r="L19" s="2">
        <v>2</v>
      </c>
      <c r="R19">
        <v>1</v>
      </c>
      <c r="S19">
        <v>1</v>
      </c>
    </row>
    <row r="20" spans="1:22" x14ac:dyDescent="0.2">
      <c r="A20" s="2" t="s">
        <v>101</v>
      </c>
      <c r="B20" s="6"/>
      <c r="C20" s="6"/>
      <c r="D20" s="6">
        <f>SUM(D17:D19)</f>
        <v>8.0749999999999993</v>
      </c>
      <c r="E20" s="6">
        <v>8.5</v>
      </c>
      <c r="F20" s="6"/>
      <c r="I20" s="2" t="s">
        <v>101</v>
      </c>
      <c r="J20" s="6"/>
      <c r="K20" s="6"/>
      <c r="L20" s="2">
        <f>SUM(L17:L19)</f>
        <v>8.0749999999999993</v>
      </c>
      <c r="M20">
        <v>8.5</v>
      </c>
      <c r="R20">
        <v>1</v>
      </c>
      <c r="S20">
        <v>1</v>
      </c>
    </row>
    <row r="21" spans="1:22" x14ac:dyDescent="0.2">
      <c r="R21">
        <v>1</v>
      </c>
      <c r="S21">
        <v>1</v>
      </c>
    </row>
    <row r="22" spans="1:22" x14ac:dyDescent="0.2">
      <c r="R22">
        <v>1</v>
      </c>
      <c r="S22">
        <v>1</v>
      </c>
    </row>
    <row r="23" spans="1:22" x14ac:dyDescent="0.2">
      <c r="Q23" t="s">
        <v>118</v>
      </c>
      <c r="R23">
        <v>0</v>
      </c>
      <c r="S23">
        <v>1</v>
      </c>
    </row>
    <row r="24" spans="1:22" x14ac:dyDescent="0.2">
      <c r="R24">
        <v>0</v>
      </c>
      <c r="S24">
        <v>1</v>
      </c>
    </row>
    <row r="25" spans="1:22" x14ac:dyDescent="0.2">
      <c r="R25">
        <v>0</v>
      </c>
      <c r="S25">
        <v>1</v>
      </c>
      <c r="U25" s="36"/>
      <c r="V25" s="36"/>
    </row>
    <row r="26" spans="1:22" x14ac:dyDescent="0.2">
      <c r="R26">
        <v>0</v>
      </c>
      <c r="S26">
        <v>1</v>
      </c>
    </row>
    <row r="27" spans="1:22" x14ac:dyDescent="0.2">
      <c r="R27">
        <v>0</v>
      </c>
      <c r="S27">
        <v>1</v>
      </c>
    </row>
    <row r="28" spans="1:22" x14ac:dyDescent="0.2">
      <c r="Q28" t="s">
        <v>117</v>
      </c>
      <c r="R28">
        <v>1</v>
      </c>
      <c r="S28">
        <v>0</v>
      </c>
    </row>
    <row r="29" spans="1:22" x14ac:dyDescent="0.2">
      <c r="R29">
        <v>1</v>
      </c>
      <c r="S29">
        <v>0</v>
      </c>
    </row>
    <row r="30" spans="1:22" x14ac:dyDescent="0.2">
      <c r="R30">
        <v>1</v>
      </c>
      <c r="S30">
        <v>0</v>
      </c>
    </row>
    <row r="31" spans="1:22" x14ac:dyDescent="0.2">
      <c r="R31">
        <v>1</v>
      </c>
      <c r="S31">
        <v>0</v>
      </c>
    </row>
    <row r="32" spans="1:22" x14ac:dyDescent="0.2">
      <c r="R32">
        <v>1</v>
      </c>
      <c r="S32">
        <v>0</v>
      </c>
    </row>
    <row r="33" spans="18:19" x14ac:dyDescent="0.2">
      <c r="R33">
        <v>1</v>
      </c>
      <c r="S33">
        <v>1</v>
      </c>
    </row>
    <row r="34" spans="18:19" x14ac:dyDescent="0.2">
      <c r="S34">
        <v>1</v>
      </c>
    </row>
    <row r="35" spans="18:19" x14ac:dyDescent="0.2">
      <c r="S35">
        <v>1</v>
      </c>
    </row>
    <row r="36" spans="18:19" x14ac:dyDescent="0.2">
      <c r="S36">
        <v>1</v>
      </c>
    </row>
    <row r="37" spans="18:19" x14ac:dyDescent="0.2">
      <c r="S37">
        <v>1</v>
      </c>
    </row>
    <row r="38" spans="18:19" x14ac:dyDescent="0.2">
      <c r="S3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Training_Protocol_AS</vt:lpstr>
      <vt:lpstr>Timing_File</vt:lpstr>
      <vt:lpstr>Sheet1</vt:lpstr>
      <vt:lpstr>PULSE_DESIGN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Adam Sunavsky</dc:creator>
  <cp:keywords/>
  <dc:description/>
  <cp:lastModifiedBy>Microsoft Office User</cp:lastModifiedBy>
  <cp:revision/>
  <dcterms:created xsi:type="dcterms:W3CDTF">2020-11-26T22:43:07Z</dcterms:created>
  <dcterms:modified xsi:type="dcterms:W3CDTF">2022-01-14T20:38:00Z</dcterms:modified>
  <cp:category/>
  <cp:contentStatus/>
</cp:coreProperties>
</file>